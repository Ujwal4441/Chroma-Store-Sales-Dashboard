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UJWAL\OneDrive\Desktop\"/>
    </mc:Choice>
  </mc:AlternateContent>
  <xr:revisionPtr revIDLastSave="0" documentId="8_{D6E34B50-D057-4483-9C5B-557DFEED9560}" xr6:coauthVersionLast="47" xr6:coauthVersionMax="47" xr10:uidLastSave="{00000000-0000-0000-0000-000000000000}"/>
  <bookViews>
    <workbookView xWindow="-108" yWindow="-108" windowWidth="23256" windowHeight="13176" activeTab="2" xr2:uid="{649C4D5C-ABBB-4655-BF5D-80A21F7E5652}"/>
  </bookViews>
  <sheets>
    <sheet name="DATA" sheetId="1" r:id="rId1"/>
    <sheet name="PIVOT TABLE &amp; CHART" sheetId="2" r:id="rId2"/>
    <sheet name="DASHBOARD" sheetId="3" r:id="rId3"/>
    <sheet name="FORECAST SHEET" sheetId="7" r:id="rId4"/>
    <sheet name="INSIGHTS" sheetId="4" r:id="rId5"/>
    <sheet name="Sheet1" sheetId="8" r:id="rId6"/>
  </sheets>
  <definedNames>
    <definedName name="Slicer_Months__Date">#N/A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563" i="1" l="1"/>
  <c r="M1562" i="1"/>
  <c r="M1561" i="1"/>
  <c r="M1560" i="1"/>
  <c r="M1559" i="1"/>
  <c r="M1558" i="1"/>
  <c r="M1557" i="1"/>
  <c r="M1556" i="1"/>
  <c r="M1555" i="1"/>
  <c r="M1554" i="1"/>
  <c r="M1553" i="1"/>
  <c r="M1552" i="1"/>
  <c r="M1551" i="1"/>
  <c r="M1550" i="1"/>
  <c r="M1549" i="1"/>
  <c r="M1548" i="1"/>
  <c r="M1547" i="1"/>
  <c r="M1546" i="1"/>
  <c r="M1545" i="1"/>
  <c r="M1544" i="1"/>
  <c r="M1543" i="1"/>
  <c r="M1542" i="1"/>
  <c r="M1541" i="1"/>
  <c r="M1540" i="1"/>
  <c r="M1539" i="1"/>
  <c r="M1538" i="1"/>
  <c r="M1537" i="1"/>
  <c r="M1536" i="1"/>
  <c r="M1535" i="1"/>
  <c r="M1534" i="1"/>
  <c r="M1533" i="1"/>
  <c r="M1532" i="1"/>
  <c r="M1531" i="1"/>
  <c r="M1530" i="1"/>
  <c r="M1529" i="1"/>
  <c r="M1528" i="1"/>
  <c r="M1527" i="1"/>
  <c r="M1526" i="1"/>
  <c r="M1525" i="1"/>
  <c r="M1524" i="1"/>
  <c r="M1523" i="1"/>
  <c r="M1522" i="1"/>
  <c r="M1521" i="1"/>
  <c r="M1520" i="1"/>
  <c r="M1519" i="1"/>
  <c r="M1518" i="1"/>
  <c r="M1517" i="1"/>
  <c r="M1516" i="1"/>
  <c r="M1515" i="1"/>
  <c r="M1514" i="1"/>
  <c r="M1513" i="1"/>
  <c r="M1512" i="1"/>
  <c r="M1511" i="1"/>
  <c r="M1510" i="1"/>
  <c r="M1509" i="1"/>
  <c r="M1508" i="1"/>
  <c r="M1507" i="1"/>
  <c r="M1506" i="1"/>
  <c r="M1505" i="1"/>
  <c r="M1504" i="1"/>
  <c r="M1503" i="1"/>
  <c r="M1502" i="1"/>
  <c r="M1501" i="1"/>
  <c r="M1500" i="1"/>
  <c r="M1499" i="1"/>
  <c r="M1498" i="1"/>
  <c r="M1497" i="1"/>
  <c r="M1496" i="1"/>
  <c r="M1495" i="1"/>
  <c r="M1494" i="1"/>
  <c r="M1493" i="1"/>
  <c r="M1492" i="1"/>
  <c r="M1491" i="1"/>
  <c r="M1490" i="1"/>
  <c r="M1489" i="1"/>
  <c r="M1488" i="1"/>
  <c r="M1487" i="1"/>
  <c r="M1486" i="1"/>
  <c r="M1485" i="1"/>
  <c r="M1484" i="1"/>
  <c r="M1483" i="1"/>
  <c r="M1482" i="1"/>
  <c r="M1481" i="1"/>
  <c r="M1480" i="1"/>
  <c r="M1479" i="1"/>
  <c r="M1478" i="1"/>
  <c r="M1477" i="1"/>
  <c r="M1476" i="1"/>
  <c r="M1475" i="1"/>
  <c r="M1474" i="1"/>
  <c r="M1473" i="1"/>
  <c r="M1472" i="1"/>
  <c r="M1471" i="1"/>
  <c r="M1470" i="1"/>
  <c r="M1469" i="1"/>
  <c r="M1468" i="1"/>
  <c r="M1467" i="1"/>
  <c r="M1466" i="1"/>
  <c r="M1465" i="1"/>
  <c r="M1464" i="1"/>
  <c r="M1463" i="1"/>
  <c r="M1462" i="1"/>
  <c r="M1461" i="1"/>
  <c r="M1460" i="1"/>
  <c r="M1459" i="1"/>
  <c r="M1458" i="1"/>
  <c r="M1457" i="1"/>
  <c r="M1456" i="1"/>
  <c r="M1455" i="1"/>
  <c r="M1454" i="1"/>
  <c r="M1453" i="1"/>
  <c r="M1452" i="1"/>
  <c r="M1451" i="1"/>
  <c r="M1450" i="1"/>
  <c r="M1449" i="1"/>
  <c r="M1448" i="1"/>
  <c r="M1447" i="1"/>
  <c r="M1446" i="1"/>
  <c r="M1445" i="1"/>
  <c r="M1444" i="1"/>
  <c r="M1443" i="1"/>
  <c r="M1442" i="1"/>
  <c r="M1441" i="1"/>
  <c r="M1440" i="1"/>
  <c r="M1439" i="1"/>
  <c r="M1438" i="1"/>
  <c r="M1437" i="1"/>
  <c r="M1436" i="1"/>
  <c r="M1435" i="1"/>
  <c r="M1434" i="1"/>
  <c r="M1433" i="1"/>
  <c r="M1432" i="1"/>
  <c r="M1431" i="1"/>
  <c r="M1430" i="1"/>
  <c r="M1429" i="1"/>
  <c r="M1428" i="1"/>
  <c r="M1427" i="1"/>
  <c r="M1426" i="1"/>
  <c r="M1425" i="1"/>
  <c r="M1424" i="1"/>
  <c r="M1423" i="1"/>
  <c r="M1422" i="1"/>
  <c r="M1421" i="1"/>
  <c r="M1420" i="1"/>
  <c r="M1419" i="1"/>
  <c r="M1418" i="1"/>
  <c r="M1417" i="1"/>
  <c r="M1416" i="1"/>
  <c r="M1415" i="1"/>
  <c r="M1414" i="1"/>
  <c r="M1413" i="1"/>
  <c r="M1412" i="1"/>
  <c r="M1411" i="1"/>
  <c r="M1410" i="1"/>
  <c r="M1409" i="1"/>
  <c r="M1408" i="1"/>
  <c r="M1407" i="1"/>
  <c r="M1406" i="1"/>
  <c r="M1405" i="1"/>
  <c r="M1404" i="1"/>
  <c r="M1403" i="1"/>
  <c r="M1402" i="1"/>
  <c r="M1401" i="1"/>
  <c r="M1400" i="1"/>
  <c r="M1399" i="1"/>
  <c r="M1398" i="1"/>
  <c r="M1397" i="1"/>
  <c r="M1396" i="1"/>
  <c r="M1395" i="1"/>
  <c r="M1394" i="1"/>
  <c r="M1393" i="1"/>
  <c r="M1392" i="1"/>
  <c r="M1391" i="1"/>
  <c r="M1390" i="1"/>
  <c r="M1389" i="1"/>
  <c r="M1388" i="1"/>
  <c r="M1387" i="1"/>
  <c r="M1386" i="1"/>
  <c r="M1385" i="1"/>
  <c r="M1384" i="1"/>
  <c r="M1383" i="1"/>
  <c r="M1382" i="1"/>
  <c r="M1381" i="1"/>
  <c r="M1380" i="1"/>
  <c r="M1379" i="1"/>
  <c r="M1378" i="1"/>
  <c r="M1377" i="1"/>
  <c r="M1376" i="1"/>
  <c r="M1375" i="1"/>
  <c r="M1374" i="1"/>
  <c r="M1373" i="1"/>
  <c r="M1372" i="1"/>
  <c r="M1371" i="1"/>
  <c r="M1370" i="1"/>
  <c r="M1369" i="1"/>
  <c r="M1368" i="1"/>
  <c r="M1367" i="1"/>
  <c r="M1366" i="1"/>
  <c r="M1365" i="1"/>
  <c r="M1364" i="1"/>
  <c r="M1363" i="1"/>
  <c r="M1362" i="1"/>
  <c r="M1361" i="1"/>
  <c r="M1360" i="1"/>
  <c r="M1359" i="1"/>
  <c r="M1358" i="1"/>
  <c r="M1357" i="1"/>
  <c r="M1356" i="1"/>
  <c r="M1355" i="1"/>
  <c r="M1354" i="1"/>
  <c r="M1353" i="1"/>
  <c r="M1352" i="1"/>
  <c r="M1351" i="1"/>
  <c r="M1350" i="1"/>
  <c r="M1349" i="1"/>
  <c r="M1348" i="1"/>
  <c r="M1347" i="1"/>
  <c r="M1346" i="1"/>
  <c r="M1345" i="1"/>
  <c r="M1344" i="1"/>
  <c r="M1343" i="1"/>
  <c r="M1342" i="1"/>
  <c r="M1341" i="1"/>
  <c r="M1340" i="1"/>
  <c r="M1339" i="1"/>
  <c r="M1338" i="1"/>
  <c r="M1337" i="1"/>
  <c r="M1336" i="1"/>
  <c r="M1335" i="1"/>
  <c r="M1334" i="1"/>
  <c r="M1333" i="1"/>
  <c r="M1332" i="1"/>
  <c r="M1331" i="1"/>
  <c r="M1330" i="1"/>
  <c r="M1329" i="1"/>
  <c r="M1328" i="1"/>
  <c r="M1327" i="1"/>
  <c r="M1326" i="1"/>
  <c r="M1325" i="1"/>
  <c r="M1324" i="1"/>
  <c r="M1323" i="1"/>
  <c r="M1322" i="1"/>
  <c r="M1321" i="1"/>
  <c r="M1320" i="1"/>
  <c r="M1319" i="1"/>
  <c r="M1318" i="1"/>
  <c r="M1317" i="1"/>
  <c r="M1316" i="1"/>
  <c r="M1315" i="1"/>
  <c r="M1314" i="1"/>
  <c r="M1313" i="1"/>
  <c r="M1312" i="1"/>
  <c r="M1311" i="1"/>
  <c r="M1310" i="1"/>
  <c r="M1309" i="1"/>
  <c r="M1308" i="1"/>
  <c r="M1307" i="1"/>
  <c r="M1306" i="1"/>
  <c r="M1305" i="1"/>
  <c r="M1304" i="1"/>
  <c r="M1303" i="1"/>
  <c r="M1302" i="1"/>
  <c r="M1301" i="1"/>
  <c r="M1300" i="1"/>
  <c r="M1299" i="1"/>
  <c r="M1298" i="1"/>
  <c r="M1297" i="1"/>
  <c r="M1296" i="1"/>
  <c r="M1295" i="1"/>
  <c r="M1294" i="1"/>
  <c r="M1293" i="1"/>
  <c r="M1292" i="1"/>
  <c r="M1291" i="1"/>
  <c r="M1290" i="1"/>
  <c r="M1289" i="1"/>
  <c r="M1288" i="1"/>
  <c r="M1287" i="1"/>
  <c r="M1286" i="1"/>
  <c r="M1285" i="1"/>
  <c r="M1284" i="1"/>
  <c r="M1283" i="1"/>
  <c r="M1282" i="1"/>
  <c r="M1281" i="1"/>
  <c r="M1280" i="1"/>
  <c r="M1279" i="1"/>
  <c r="M1278" i="1"/>
  <c r="M1277" i="1"/>
  <c r="M1276" i="1"/>
  <c r="M1275" i="1"/>
  <c r="M1274" i="1"/>
  <c r="M1273" i="1"/>
  <c r="M1272" i="1"/>
  <c r="M1271" i="1"/>
  <c r="M1270" i="1"/>
  <c r="M1269" i="1"/>
  <c r="M1268" i="1"/>
  <c r="M1267" i="1"/>
  <c r="M1266" i="1"/>
  <c r="M1265" i="1"/>
  <c r="M1264" i="1"/>
  <c r="M1263" i="1"/>
  <c r="M1262" i="1"/>
  <c r="M1261" i="1"/>
  <c r="M1260" i="1"/>
  <c r="M1259" i="1"/>
  <c r="M1258" i="1"/>
  <c r="M1257" i="1"/>
  <c r="M1256" i="1"/>
  <c r="M1255" i="1"/>
  <c r="M1254" i="1"/>
  <c r="M1253" i="1"/>
  <c r="M1252" i="1"/>
  <c r="M1251" i="1"/>
  <c r="M1250" i="1"/>
  <c r="M1249" i="1"/>
  <c r="M1248" i="1"/>
  <c r="M1247" i="1"/>
  <c r="M1246" i="1"/>
  <c r="M1245" i="1"/>
  <c r="M1244" i="1"/>
  <c r="M1243" i="1"/>
  <c r="M1242" i="1"/>
  <c r="M1241" i="1"/>
  <c r="M1240" i="1"/>
  <c r="M1239" i="1"/>
  <c r="M1238" i="1"/>
  <c r="M1237" i="1"/>
  <c r="M1236" i="1"/>
  <c r="M1235" i="1"/>
  <c r="M1234" i="1"/>
  <c r="M1233" i="1"/>
  <c r="M1232" i="1"/>
  <c r="M1231" i="1"/>
  <c r="M1230" i="1"/>
  <c r="M1229" i="1"/>
  <c r="M1228" i="1"/>
  <c r="M1227" i="1"/>
  <c r="M1226" i="1"/>
  <c r="M1225" i="1"/>
  <c r="M1224" i="1"/>
  <c r="M1223" i="1"/>
  <c r="M1222" i="1"/>
  <c r="M1221" i="1"/>
  <c r="M1220" i="1"/>
  <c r="M1219" i="1"/>
  <c r="M1218" i="1"/>
  <c r="M1217" i="1"/>
  <c r="M1216" i="1"/>
  <c r="M1215" i="1"/>
  <c r="M1214" i="1"/>
  <c r="M1213" i="1"/>
  <c r="M1212" i="1"/>
  <c r="M1211" i="1"/>
  <c r="M1210" i="1"/>
  <c r="M1209" i="1"/>
  <c r="M1208" i="1"/>
  <c r="M1207" i="1"/>
  <c r="M1206" i="1"/>
  <c r="M1205" i="1"/>
  <c r="M1204" i="1"/>
  <c r="M1203" i="1"/>
  <c r="M1202" i="1"/>
  <c r="M1201" i="1"/>
  <c r="M1200" i="1"/>
  <c r="M1199" i="1"/>
  <c r="M1198" i="1"/>
  <c r="M1197" i="1"/>
  <c r="M1196" i="1"/>
  <c r="M1195" i="1"/>
  <c r="M1194" i="1"/>
  <c r="M1193" i="1"/>
  <c r="M1192" i="1"/>
  <c r="M1191" i="1"/>
  <c r="M1190" i="1"/>
  <c r="M1189" i="1"/>
  <c r="M1188" i="1"/>
  <c r="M1187" i="1"/>
  <c r="M1186" i="1"/>
  <c r="M1185" i="1"/>
  <c r="M1184" i="1"/>
  <c r="M1183" i="1"/>
  <c r="M1182" i="1"/>
  <c r="M1181" i="1"/>
  <c r="M1180" i="1"/>
  <c r="M1179" i="1"/>
  <c r="M1178" i="1"/>
  <c r="M1177" i="1"/>
  <c r="M1176" i="1"/>
  <c r="M1175" i="1"/>
  <c r="M1174" i="1"/>
  <c r="M1173" i="1"/>
  <c r="M1172" i="1"/>
  <c r="M1171" i="1"/>
  <c r="M1170" i="1"/>
  <c r="M1169" i="1"/>
  <c r="M1168" i="1"/>
  <c r="M1167" i="1"/>
  <c r="M1166" i="1"/>
  <c r="M1165" i="1"/>
  <c r="M1164" i="1"/>
  <c r="M1163" i="1"/>
  <c r="M1162" i="1"/>
  <c r="M1161" i="1"/>
  <c r="M1160" i="1"/>
  <c r="M1159" i="1"/>
  <c r="M1158" i="1"/>
  <c r="M1157" i="1"/>
  <c r="M1156" i="1"/>
  <c r="M1155" i="1"/>
  <c r="M1154" i="1"/>
  <c r="M1153" i="1"/>
  <c r="M1152" i="1"/>
  <c r="M1151" i="1"/>
  <c r="M1150" i="1"/>
  <c r="M1149" i="1"/>
  <c r="M1148" i="1"/>
  <c r="M1147" i="1"/>
  <c r="M1146" i="1"/>
  <c r="M1145" i="1"/>
  <c r="M1144" i="1"/>
  <c r="M1143" i="1"/>
  <c r="M1142" i="1"/>
  <c r="M1141" i="1"/>
  <c r="M1140" i="1"/>
  <c r="M1139" i="1"/>
  <c r="M1138" i="1"/>
  <c r="M1137" i="1"/>
  <c r="M1136" i="1"/>
  <c r="M1135" i="1"/>
  <c r="M1134" i="1"/>
  <c r="M1133" i="1"/>
  <c r="M1132" i="1"/>
  <c r="M1131" i="1"/>
  <c r="M1130" i="1"/>
  <c r="M1129" i="1"/>
  <c r="M1128" i="1"/>
  <c r="M1127" i="1"/>
  <c r="M1126" i="1"/>
  <c r="M1125" i="1"/>
  <c r="M1124" i="1"/>
  <c r="M1123" i="1"/>
  <c r="M1122" i="1"/>
  <c r="M1121" i="1"/>
  <c r="M1120" i="1"/>
  <c r="M1119" i="1"/>
  <c r="M1118" i="1"/>
  <c r="M1117" i="1"/>
  <c r="M1116" i="1"/>
  <c r="M1115" i="1"/>
  <c r="M1114" i="1"/>
  <c r="M1113" i="1"/>
  <c r="M1112" i="1"/>
  <c r="M1111" i="1"/>
  <c r="M1110" i="1"/>
  <c r="M1109" i="1"/>
  <c r="M1108" i="1"/>
  <c r="M1107" i="1"/>
  <c r="M1106" i="1"/>
  <c r="M1105" i="1"/>
  <c r="M1104" i="1"/>
  <c r="M1103" i="1"/>
  <c r="M1102" i="1"/>
  <c r="M1101" i="1"/>
  <c r="M1100" i="1"/>
  <c r="M1099" i="1"/>
  <c r="M1098" i="1"/>
  <c r="M1097" i="1"/>
  <c r="M1096" i="1"/>
  <c r="M1095" i="1"/>
  <c r="M1094" i="1"/>
  <c r="M1093" i="1"/>
  <c r="M1092" i="1"/>
  <c r="M1091" i="1"/>
  <c r="M1090" i="1"/>
  <c r="M1089" i="1"/>
  <c r="M1088" i="1"/>
  <c r="M1087" i="1"/>
  <c r="M1086" i="1"/>
  <c r="M1085" i="1"/>
  <c r="M1084" i="1"/>
  <c r="M1083" i="1"/>
  <c r="M1082" i="1"/>
  <c r="M1081" i="1"/>
  <c r="M1080" i="1"/>
  <c r="M1079" i="1"/>
  <c r="M1078" i="1"/>
  <c r="M1077" i="1"/>
  <c r="M1076" i="1"/>
  <c r="M1075" i="1"/>
  <c r="M1074" i="1"/>
  <c r="M1073" i="1"/>
  <c r="M1072" i="1"/>
  <c r="M1071" i="1"/>
  <c r="M1070" i="1"/>
  <c r="M1069" i="1"/>
  <c r="M1068" i="1"/>
  <c r="M1067" i="1"/>
  <c r="M1066" i="1"/>
  <c r="M1065" i="1"/>
  <c r="M1064" i="1"/>
  <c r="M1063" i="1"/>
  <c r="M1062" i="1"/>
  <c r="M1061" i="1"/>
  <c r="M1060" i="1"/>
  <c r="M1059" i="1"/>
  <c r="M1058" i="1"/>
  <c r="M1057" i="1"/>
  <c r="M1056" i="1"/>
  <c r="M1055" i="1"/>
  <c r="M1054" i="1"/>
  <c r="M1053" i="1"/>
  <c r="M1052" i="1"/>
  <c r="M1051" i="1"/>
  <c r="M1050" i="1"/>
  <c r="M1049" i="1"/>
  <c r="M1048" i="1"/>
  <c r="M1047" i="1"/>
  <c r="M1046" i="1"/>
  <c r="M1045" i="1"/>
  <c r="M1044" i="1"/>
  <c r="M1043" i="1"/>
  <c r="M1042" i="1"/>
  <c r="M1041" i="1"/>
  <c r="M1040" i="1"/>
  <c r="M1039" i="1"/>
  <c r="M1038" i="1"/>
  <c r="M1037" i="1"/>
  <c r="M1036" i="1"/>
  <c r="M1035" i="1"/>
  <c r="M1034" i="1"/>
  <c r="M1033" i="1"/>
  <c r="M1032" i="1"/>
  <c r="M1031" i="1"/>
  <c r="M1030" i="1"/>
  <c r="M1029" i="1"/>
  <c r="M1028" i="1"/>
  <c r="M1027" i="1"/>
  <c r="M1026" i="1"/>
  <c r="M1025" i="1"/>
  <c r="M1024" i="1"/>
  <c r="M1023" i="1"/>
  <c r="M1022" i="1"/>
  <c r="M1021" i="1"/>
  <c r="M1020" i="1"/>
  <c r="M1019" i="1"/>
  <c r="M1018" i="1"/>
  <c r="M1017" i="1"/>
  <c r="M1016" i="1"/>
  <c r="M1015" i="1"/>
  <c r="M1014" i="1"/>
  <c r="M1013" i="1"/>
  <c r="M1012" i="1"/>
  <c r="M1011" i="1"/>
  <c r="M1010" i="1"/>
  <c r="M1009" i="1"/>
  <c r="M1008" i="1"/>
  <c r="M1007" i="1"/>
  <c r="M1006" i="1"/>
  <c r="M1005" i="1"/>
  <c r="M1004" i="1"/>
  <c r="M1003" i="1"/>
  <c r="M1002" i="1"/>
  <c r="M1001" i="1"/>
  <c r="M1000" i="1"/>
  <c r="M999" i="1"/>
  <c r="M998" i="1"/>
  <c r="M997" i="1"/>
  <c r="M996" i="1"/>
  <c r="M995" i="1"/>
  <c r="M994" i="1"/>
  <c r="M993" i="1"/>
  <c r="M992" i="1"/>
  <c r="M991" i="1"/>
  <c r="M990" i="1"/>
  <c r="M989" i="1"/>
  <c r="M988" i="1"/>
  <c r="M987" i="1"/>
  <c r="M986" i="1"/>
  <c r="M985" i="1"/>
  <c r="M984" i="1"/>
  <c r="M983" i="1"/>
  <c r="M982" i="1"/>
  <c r="M981" i="1"/>
  <c r="M980" i="1"/>
  <c r="M979" i="1"/>
  <c r="M978" i="1"/>
  <c r="M977" i="1"/>
  <c r="M976" i="1"/>
  <c r="M975" i="1"/>
  <c r="M974" i="1"/>
  <c r="M973" i="1"/>
  <c r="M972" i="1"/>
  <c r="M971" i="1"/>
  <c r="M970" i="1"/>
  <c r="M969" i="1"/>
  <c r="M968" i="1"/>
  <c r="M967" i="1"/>
  <c r="M966" i="1"/>
  <c r="M965" i="1"/>
  <c r="M964" i="1"/>
  <c r="M963" i="1"/>
  <c r="M962" i="1"/>
  <c r="M961" i="1"/>
  <c r="M960" i="1"/>
  <c r="M959" i="1"/>
  <c r="M958" i="1"/>
  <c r="M957" i="1"/>
  <c r="M956" i="1"/>
  <c r="M955" i="1"/>
  <c r="M954" i="1"/>
  <c r="M953" i="1"/>
  <c r="M952" i="1"/>
  <c r="M951" i="1"/>
  <c r="M950" i="1"/>
  <c r="M949" i="1"/>
  <c r="M948" i="1"/>
  <c r="M947" i="1"/>
  <c r="M946" i="1"/>
  <c r="M945" i="1"/>
  <c r="M944" i="1"/>
  <c r="M943" i="1"/>
  <c r="M942" i="1"/>
  <c r="M941" i="1"/>
  <c r="M940" i="1"/>
  <c r="M939" i="1"/>
  <c r="M938" i="1"/>
  <c r="M937" i="1"/>
  <c r="M936" i="1"/>
  <c r="M935" i="1"/>
  <c r="M934" i="1"/>
  <c r="M933" i="1"/>
  <c r="M932" i="1"/>
  <c r="M931" i="1"/>
  <c r="M930" i="1"/>
  <c r="M929" i="1"/>
  <c r="M928" i="1"/>
  <c r="M927" i="1"/>
  <c r="M926" i="1"/>
  <c r="M925" i="1"/>
  <c r="M924" i="1"/>
  <c r="M923" i="1"/>
  <c r="M922" i="1"/>
  <c r="M921" i="1"/>
  <c r="M920" i="1"/>
  <c r="M919" i="1"/>
  <c r="M918" i="1"/>
  <c r="M917" i="1"/>
  <c r="M916" i="1"/>
  <c r="M915" i="1"/>
  <c r="M914" i="1"/>
  <c r="M913" i="1"/>
  <c r="M912" i="1"/>
  <c r="M911" i="1"/>
  <c r="M910" i="1"/>
  <c r="M909" i="1"/>
  <c r="M908" i="1"/>
  <c r="M907" i="1"/>
  <c r="M906" i="1"/>
  <c r="M905" i="1"/>
  <c r="M904" i="1"/>
  <c r="M903" i="1"/>
  <c r="M902" i="1"/>
  <c r="M901" i="1"/>
  <c r="M900" i="1"/>
  <c r="M899" i="1"/>
  <c r="M898" i="1"/>
  <c r="M897" i="1"/>
  <c r="M896" i="1"/>
  <c r="M895" i="1"/>
  <c r="M894" i="1"/>
  <c r="M893" i="1"/>
  <c r="M892" i="1"/>
  <c r="M891" i="1"/>
  <c r="M890" i="1"/>
  <c r="M889" i="1"/>
  <c r="M888" i="1"/>
  <c r="M887" i="1"/>
  <c r="M886" i="1"/>
  <c r="M885" i="1"/>
  <c r="M884" i="1"/>
  <c r="M883" i="1"/>
  <c r="M882" i="1"/>
  <c r="M881" i="1"/>
  <c r="M880" i="1"/>
  <c r="M879" i="1"/>
  <c r="M878" i="1"/>
  <c r="M877" i="1"/>
  <c r="M876" i="1"/>
  <c r="M875" i="1"/>
  <c r="M874" i="1"/>
  <c r="M873" i="1"/>
  <c r="M872" i="1"/>
  <c r="M871" i="1"/>
  <c r="M870" i="1"/>
  <c r="M869" i="1"/>
  <c r="M868" i="1"/>
  <c r="M867" i="1"/>
  <c r="M866" i="1"/>
  <c r="M865" i="1"/>
  <c r="M864" i="1"/>
  <c r="M863" i="1"/>
  <c r="M862" i="1"/>
  <c r="M861" i="1"/>
  <c r="M860" i="1"/>
  <c r="M859" i="1"/>
  <c r="M858" i="1"/>
  <c r="M857" i="1"/>
  <c r="M856" i="1"/>
  <c r="M855" i="1"/>
  <c r="M854" i="1"/>
  <c r="M853" i="1"/>
  <c r="M852" i="1"/>
  <c r="M851" i="1"/>
  <c r="M850" i="1"/>
  <c r="M849" i="1"/>
  <c r="M848" i="1"/>
  <c r="M847" i="1"/>
  <c r="M846" i="1"/>
  <c r="M845" i="1"/>
  <c r="M844" i="1"/>
  <c r="M843" i="1"/>
  <c r="M842" i="1"/>
  <c r="M841" i="1"/>
  <c r="M840" i="1"/>
  <c r="M839" i="1"/>
  <c r="M838" i="1"/>
  <c r="M837" i="1"/>
  <c r="M836" i="1"/>
  <c r="M835" i="1"/>
  <c r="M834" i="1"/>
  <c r="M833" i="1"/>
  <c r="M832" i="1"/>
  <c r="M831" i="1"/>
  <c r="M830" i="1"/>
  <c r="M829" i="1"/>
  <c r="M828" i="1"/>
  <c r="M827" i="1"/>
  <c r="M826" i="1"/>
  <c r="M825" i="1"/>
  <c r="M824" i="1"/>
  <c r="M823" i="1"/>
  <c r="M822" i="1"/>
  <c r="M821" i="1"/>
  <c r="M820" i="1"/>
  <c r="M819" i="1"/>
  <c r="M818" i="1"/>
  <c r="M817" i="1"/>
  <c r="M816" i="1"/>
  <c r="M815" i="1"/>
  <c r="M814" i="1"/>
  <c r="M813" i="1"/>
  <c r="M812" i="1"/>
  <c r="M811" i="1"/>
  <c r="M810" i="1"/>
  <c r="M809" i="1"/>
  <c r="M808" i="1"/>
  <c r="M807" i="1"/>
  <c r="M806" i="1"/>
  <c r="M805" i="1"/>
  <c r="M804" i="1"/>
  <c r="M803" i="1"/>
  <c r="M802" i="1"/>
  <c r="M801" i="1"/>
  <c r="M800" i="1"/>
  <c r="M799" i="1"/>
  <c r="M798" i="1"/>
  <c r="M797" i="1"/>
  <c r="M796" i="1"/>
  <c r="M795" i="1"/>
  <c r="M794" i="1"/>
  <c r="M793" i="1"/>
  <c r="M792" i="1"/>
  <c r="M791" i="1"/>
  <c r="M790" i="1"/>
  <c r="M789" i="1"/>
  <c r="M788" i="1"/>
  <c r="M787" i="1"/>
  <c r="M786" i="1"/>
  <c r="M785" i="1"/>
  <c r="M784" i="1"/>
  <c r="M783" i="1"/>
  <c r="M782" i="1"/>
  <c r="M781" i="1"/>
  <c r="M780" i="1"/>
  <c r="M779" i="1"/>
  <c r="M778" i="1"/>
  <c r="M777" i="1"/>
  <c r="M776" i="1"/>
  <c r="M775" i="1"/>
  <c r="M774" i="1"/>
  <c r="M773" i="1"/>
  <c r="M772" i="1"/>
  <c r="M771" i="1"/>
  <c r="M770" i="1"/>
  <c r="M769" i="1"/>
  <c r="M768" i="1"/>
  <c r="M767" i="1"/>
  <c r="M766" i="1"/>
  <c r="M765" i="1"/>
  <c r="M764" i="1"/>
  <c r="M763" i="1"/>
  <c r="M762" i="1"/>
  <c r="M761" i="1"/>
  <c r="M760" i="1"/>
  <c r="M759" i="1"/>
  <c r="M758" i="1"/>
  <c r="M757" i="1"/>
  <c r="M756" i="1"/>
  <c r="M755" i="1"/>
  <c r="M754" i="1"/>
  <c r="M753" i="1"/>
  <c r="M752" i="1"/>
  <c r="M751" i="1"/>
  <c r="M750" i="1"/>
  <c r="M749" i="1"/>
  <c r="M748" i="1"/>
  <c r="M747" i="1"/>
  <c r="M746" i="1"/>
  <c r="M745" i="1"/>
  <c r="M744" i="1"/>
  <c r="M743" i="1"/>
  <c r="M742" i="1"/>
  <c r="M741" i="1"/>
  <c r="M740" i="1"/>
  <c r="M739" i="1"/>
  <c r="M738" i="1"/>
  <c r="M737" i="1"/>
  <c r="M736" i="1"/>
  <c r="M735" i="1"/>
  <c r="M734" i="1"/>
  <c r="M733" i="1"/>
  <c r="M732" i="1"/>
  <c r="M731" i="1"/>
  <c r="M730" i="1"/>
  <c r="M729" i="1"/>
  <c r="M728" i="1"/>
  <c r="M727" i="1"/>
  <c r="M726" i="1"/>
  <c r="M725" i="1"/>
  <c r="M724" i="1"/>
  <c r="M723" i="1"/>
  <c r="M722" i="1"/>
  <c r="M721" i="1"/>
  <c r="M720" i="1"/>
  <c r="M719" i="1"/>
  <c r="M718" i="1"/>
  <c r="M717" i="1"/>
  <c r="M716" i="1"/>
  <c r="M715" i="1"/>
  <c r="M714" i="1"/>
  <c r="M713" i="1"/>
  <c r="M712" i="1"/>
  <c r="M711" i="1"/>
  <c r="M710" i="1"/>
  <c r="M709" i="1"/>
  <c r="M708" i="1"/>
  <c r="M707" i="1"/>
  <c r="M706" i="1"/>
  <c r="M705" i="1"/>
  <c r="M704" i="1"/>
  <c r="M703" i="1"/>
  <c r="M702" i="1"/>
  <c r="M701" i="1"/>
  <c r="M700" i="1"/>
  <c r="M699" i="1"/>
  <c r="M698" i="1"/>
  <c r="M697" i="1"/>
  <c r="M696" i="1"/>
  <c r="M695" i="1"/>
  <c r="M694" i="1"/>
  <c r="M693" i="1"/>
  <c r="M692" i="1"/>
  <c r="M691" i="1"/>
  <c r="M690" i="1"/>
  <c r="M689" i="1"/>
  <c r="M688" i="1"/>
  <c r="M687" i="1"/>
  <c r="M686" i="1"/>
  <c r="M685" i="1"/>
  <c r="M684" i="1"/>
  <c r="M683" i="1"/>
  <c r="M682" i="1"/>
  <c r="M681" i="1"/>
  <c r="M680" i="1"/>
  <c r="M679" i="1"/>
  <c r="M678" i="1"/>
  <c r="M677" i="1"/>
  <c r="M676" i="1"/>
  <c r="M675" i="1"/>
  <c r="M674" i="1"/>
  <c r="M673" i="1"/>
  <c r="M672" i="1"/>
  <c r="M671" i="1"/>
  <c r="M670" i="1"/>
  <c r="M669" i="1"/>
  <c r="M668" i="1"/>
  <c r="M667" i="1"/>
  <c r="M666" i="1"/>
  <c r="M665" i="1"/>
  <c r="M664" i="1"/>
  <c r="M663" i="1"/>
  <c r="M662" i="1"/>
  <c r="M661" i="1"/>
  <c r="M660" i="1"/>
  <c r="M659" i="1"/>
  <c r="M658" i="1"/>
  <c r="M657" i="1"/>
  <c r="M656" i="1"/>
  <c r="M655" i="1"/>
  <c r="M654" i="1"/>
  <c r="M653" i="1"/>
  <c r="M652" i="1"/>
  <c r="M651" i="1"/>
  <c r="M650" i="1"/>
  <c r="M649" i="1"/>
  <c r="M648" i="1"/>
  <c r="M647" i="1"/>
  <c r="M646" i="1"/>
  <c r="M645" i="1"/>
  <c r="M644" i="1"/>
  <c r="M643" i="1"/>
  <c r="M642" i="1"/>
  <c r="M641" i="1"/>
  <c r="M640" i="1"/>
  <c r="M639" i="1"/>
  <c r="M638" i="1"/>
  <c r="M637" i="1"/>
  <c r="M636" i="1"/>
  <c r="M635" i="1"/>
  <c r="M634" i="1"/>
  <c r="M633" i="1"/>
  <c r="M632" i="1"/>
  <c r="M631" i="1"/>
  <c r="M630" i="1"/>
  <c r="M629" i="1"/>
  <c r="M628" i="1"/>
  <c r="M627" i="1"/>
  <c r="M626" i="1"/>
  <c r="M625" i="1"/>
  <c r="M624" i="1"/>
  <c r="M623" i="1"/>
  <c r="M622" i="1"/>
  <c r="M621" i="1"/>
  <c r="M620" i="1"/>
  <c r="M619" i="1"/>
  <c r="M618" i="1"/>
  <c r="M617" i="1"/>
  <c r="M616" i="1"/>
  <c r="M615" i="1"/>
  <c r="M614" i="1"/>
  <c r="M613" i="1"/>
  <c r="M612" i="1"/>
  <c r="M611" i="1"/>
  <c r="M610" i="1"/>
  <c r="M609" i="1"/>
  <c r="M608" i="1"/>
  <c r="M607" i="1"/>
  <c r="M606" i="1"/>
  <c r="M605" i="1"/>
  <c r="M604" i="1"/>
  <c r="M603" i="1"/>
  <c r="M602" i="1"/>
  <c r="M601" i="1"/>
  <c r="M600" i="1"/>
  <c r="M599" i="1"/>
  <c r="M598" i="1"/>
  <c r="M597" i="1"/>
  <c r="M596" i="1"/>
  <c r="M595" i="1"/>
  <c r="M594" i="1"/>
  <c r="M593" i="1"/>
  <c r="M592" i="1"/>
  <c r="M591" i="1"/>
  <c r="M590" i="1"/>
  <c r="M589" i="1"/>
  <c r="M588" i="1"/>
  <c r="M587" i="1"/>
  <c r="M586" i="1"/>
  <c r="M585" i="1"/>
  <c r="M584" i="1"/>
  <c r="M583" i="1"/>
  <c r="M582" i="1"/>
  <c r="M581" i="1"/>
  <c r="M580" i="1"/>
  <c r="M579" i="1"/>
  <c r="M578" i="1"/>
  <c r="M577" i="1"/>
  <c r="M576" i="1"/>
  <c r="M575" i="1"/>
  <c r="M574" i="1"/>
  <c r="M573" i="1"/>
  <c r="M572" i="1"/>
  <c r="M571" i="1"/>
  <c r="M570" i="1"/>
  <c r="M569" i="1"/>
  <c r="M568" i="1"/>
  <c r="M567" i="1"/>
  <c r="M566" i="1"/>
  <c r="M565" i="1"/>
  <c r="M564" i="1"/>
  <c r="M563" i="1"/>
  <c r="M562" i="1"/>
  <c r="M561" i="1"/>
  <c r="M560" i="1"/>
  <c r="M559" i="1"/>
  <c r="M558" i="1"/>
  <c r="M557" i="1"/>
  <c r="M556" i="1"/>
  <c r="M555" i="1"/>
  <c r="M554" i="1"/>
  <c r="M553" i="1"/>
  <c r="M552" i="1"/>
  <c r="M551" i="1"/>
  <c r="M550" i="1"/>
  <c r="M549" i="1"/>
  <c r="M548" i="1"/>
  <c r="M547" i="1"/>
  <c r="M546" i="1"/>
  <c r="M545" i="1"/>
  <c r="M544" i="1"/>
  <c r="M543" i="1"/>
  <c r="M542" i="1"/>
  <c r="M541" i="1"/>
  <c r="M540" i="1"/>
  <c r="M539" i="1"/>
  <c r="M538" i="1"/>
  <c r="M537" i="1"/>
  <c r="M536" i="1"/>
  <c r="M535" i="1"/>
  <c r="M534" i="1"/>
  <c r="M533" i="1"/>
  <c r="M532" i="1"/>
  <c r="M531" i="1"/>
  <c r="M530" i="1"/>
  <c r="M529" i="1"/>
  <c r="M528" i="1"/>
  <c r="M527" i="1"/>
  <c r="M526" i="1"/>
  <c r="M525" i="1"/>
  <c r="M524" i="1"/>
  <c r="M523" i="1"/>
  <c r="M522" i="1"/>
  <c r="M521" i="1"/>
  <c r="M520" i="1"/>
  <c r="M519" i="1"/>
  <c r="M518" i="1"/>
  <c r="M517" i="1"/>
  <c r="M516" i="1"/>
  <c r="M515" i="1"/>
  <c r="M514" i="1"/>
  <c r="M513" i="1"/>
  <c r="M512" i="1"/>
  <c r="M511" i="1"/>
  <c r="M510" i="1"/>
  <c r="M509" i="1"/>
  <c r="M508" i="1"/>
  <c r="M507" i="1"/>
  <c r="M506" i="1"/>
  <c r="M505" i="1"/>
  <c r="M504" i="1"/>
  <c r="M503" i="1"/>
  <c r="M502" i="1"/>
  <c r="M501" i="1"/>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C56" i="7"/>
  <c r="C64" i="7"/>
  <c r="C57" i="7"/>
  <c r="C65" i="7"/>
  <c r="C58" i="7"/>
  <c r="C66" i="7"/>
  <c r="C68" i="7"/>
  <c r="C59" i="7"/>
  <c r="C67" i="7"/>
  <c r="C60" i="7"/>
  <c r="C61" i="7"/>
  <c r="C62" i="7"/>
  <c r="C63" i="7"/>
  <c r="E63" i="7"/>
  <c r="D67" i="7"/>
  <c r="E58" i="7"/>
  <c r="E56" i="7"/>
  <c r="E67" i="7"/>
  <c r="D58" i="7"/>
  <c r="D56" i="7"/>
  <c r="D62" i="7"/>
  <c r="D65" i="7"/>
  <c r="E57" i="7"/>
  <c r="D57" i="7"/>
  <c r="D66" i="7"/>
  <c r="D64" i="7"/>
  <c r="D63" i="7"/>
  <c r="E59" i="7"/>
  <c r="E68" i="7"/>
  <c r="E60" i="7"/>
  <c r="E62" i="7"/>
  <c r="D59" i="7"/>
  <c r="E65" i="7"/>
  <c r="D61" i="7"/>
  <c r="D68" i="7"/>
  <c r="D60" i="7"/>
  <c r="E64" i="7"/>
  <c r="E66" i="7"/>
  <c r="E61" i="7"/>
</calcChain>
</file>

<file path=xl/sharedStrings.xml><?xml version="1.0" encoding="utf-8"?>
<sst xmlns="http://schemas.openxmlformats.org/spreadsheetml/2006/main" count="6321" uniqueCount="67">
  <si>
    <t>Date</t>
  </si>
  <si>
    <t>Product</t>
  </si>
  <si>
    <t>Category</t>
  </si>
  <si>
    <t>Sales Rep</t>
  </si>
  <si>
    <t>City</t>
  </si>
  <si>
    <t>No.of Units</t>
  </si>
  <si>
    <t>Price</t>
  </si>
  <si>
    <t>Amount</t>
  </si>
  <si>
    <t>Dell XPS 13</t>
  </si>
  <si>
    <t>Laptop</t>
  </si>
  <si>
    <t>Adesh</t>
  </si>
  <si>
    <t>Bangalore</t>
  </si>
  <si>
    <t>OnePlus Buds</t>
  </si>
  <si>
    <t>Headphone</t>
  </si>
  <si>
    <t>Pranav</t>
  </si>
  <si>
    <t>Apple AirPods Pro</t>
  </si>
  <si>
    <t>HP Envy x360</t>
  </si>
  <si>
    <t>iPhone 11 Pro</t>
  </si>
  <si>
    <t>Phone</t>
  </si>
  <si>
    <t>OnePlus 8 Pro</t>
  </si>
  <si>
    <t>Pratik</t>
  </si>
  <si>
    <t>Mumbai</t>
  </si>
  <si>
    <t>Hritik</t>
  </si>
  <si>
    <t>Nayan</t>
  </si>
  <si>
    <t>Cochin</t>
  </si>
  <si>
    <t>Priya</t>
  </si>
  <si>
    <t>Shivani</t>
  </si>
  <si>
    <t>Delhi</t>
  </si>
  <si>
    <t>Tejas</t>
  </si>
  <si>
    <t>Bunty</t>
  </si>
  <si>
    <t>Hyderabad</t>
  </si>
  <si>
    <t>Riya</t>
  </si>
  <si>
    <t>Row Labels</t>
  </si>
  <si>
    <t>Grand Total</t>
  </si>
  <si>
    <t>Sum of Amount</t>
  </si>
  <si>
    <t>Jan</t>
  </si>
  <si>
    <t>Feb</t>
  </si>
  <si>
    <t>Mar</t>
  </si>
  <si>
    <t>Apr</t>
  </si>
  <si>
    <t>May</t>
  </si>
  <si>
    <t>Jun</t>
  </si>
  <si>
    <t>Jul</t>
  </si>
  <si>
    <t>Aug</t>
  </si>
  <si>
    <t>Sep</t>
  </si>
  <si>
    <t>Oct</t>
  </si>
  <si>
    <t>Nov</t>
  </si>
  <si>
    <t>Dec</t>
  </si>
  <si>
    <t>The pie chart reveals the distribution of sales across four categories: Electronics, Appliances, Mobiles, and Others.</t>
  </si>
  <si>
    <t>Electronics dominate the share, followed by Appliances.</t>
  </si>
  <si>
    <t>The bar graph showcases individual product sales.</t>
  </si>
  <si>
    <t>The line graph tracks sales trends across different cities.</t>
  </si>
  <si>
    <t>Cochin, Hyderabad, and Mumbai emerge as key cities with varying sales volumes.</t>
  </si>
  <si>
    <t>The horizontal bar graphs represent sales by individual salespeople.</t>
  </si>
  <si>
    <t>Another horizontal bar graph displays monthly sales.</t>
  </si>
  <si>
    <t>May and June stand out as robust sales months.</t>
  </si>
  <si>
    <t>INSIGHTS</t>
  </si>
  <si>
    <t>2. Sales By Product</t>
  </si>
  <si>
    <t>1. Sales By Category</t>
  </si>
  <si>
    <t>3. Sales By City</t>
  </si>
  <si>
    <t>4. Sales by SalesRep</t>
  </si>
  <si>
    <t>Notable performers include “Pranav”, “Bunty” and “Adesh.”</t>
  </si>
  <si>
    <t>5. Sales According to months</t>
  </si>
  <si>
    <t xml:space="preserve">6. Total Sales </t>
  </si>
  <si>
    <t>The dashboard reports a total sales figure of ₹84,36,495.</t>
  </si>
  <si>
    <t>Forecast(Amount)</t>
  </si>
  <si>
    <t>Lower Confidence Bound(Amount)</t>
  </si>
  <si>
    <t>Upper Confidence Bound(Amount)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</si>
</sst>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5"/>
      <color theme="3"/>
      <name val="Calibri"/>
      <family val="2"/>
      <scheme val="minor"/>
    </font>
    <font>
      <sz val="11"/>
      <color theme="0"/>
      <name val="Calibri"/>
      <family val="2"/>
      <scheme val="minor"/>
    </font>
    <font>
      <b/>
      <i/>
      <sz val="11"/>
      <color theme="0"/>
      <name val="Calibri"/>
      <family val="2"/>
      <scheme val="minor"/>
    </font>
    <font>
      <sz val="10"/>
      <color theme="0"/>
      <name val="Segoe UI"/>
      <family val="2"/>
    </font>
  </fonts>
  <fills count="4">
    <fill>
      <patternFill patternType="none"/>
    </fill>
    <fill>
      <patternFill patternType="gray125"/>
    </fill>
    <fill>
      <patternFill patternType="solid">
        <fgColor theme="1"/>
        <bgColor indexed="64"/>
      </patternFill>
    </fill>
    <fill>
      <patternFill patternType="solid">
        <fgColor theme="1" tint="4.9989318521683403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s>
  <cellStyleXfs count="2">
    <xf numFmtId="0" fontId="0" fillId="0" borderId="0"/>
    <xf numFmtId="0" fontId="1" fillId="0" borderId="2" applyNumberFormat="0" applyFill="0" applyAlignment="0" applyProtection="0"/>
  </cellStyleXfs>
  <cellXfs count="15">
    <xf numFmtId="0" fontId="0" fillId="0" borderId="0" xfId="0"/>
    <xf numFmtId="0" fontId="0" fillId="2" borderId="0" xfId="0" applyFill="1"/>
    <xf numFmtId="0" fontId="0" fillId="3" borderId="0" xfId="0" applyFill="1"/>
    <xf numFmtId="0" fontId="2" fillId="3" borderId="0" xfId="0" applyFont="1" applyFill="1"/>
    <xf numFmtId="0" fontId="2" fillId="3" borderId="0" xfId="0" applyFont="1" applyFill="1" applyAlignment="1">
      <alignment horizontal="left"/>
    </xf>
    <xf numFmtId="3" fontId="2" fillId="3" borderId="0" xfId="0" applyNumberFormat="1" applyFont="1" applyFill="1"/>
    <xf numFmtId="0" fontId="3" fillId="3" borderId="1" xfId="0" applyFont="1" applyFill="1" applyBorder="1" applyAlignment="1">
      <alignment horizontal="center"/>
    </xf>
    <xf numFmtId="14" fontId="2" fillId="3" borderId="1" xfId="0" applyNumberFormat="1" applyFont="1" applyFill="1" applyBorder="1" applyAlignment="1">
      <alignment horizontal="center"/>
    </xf>
    <xf numFmtId="0" fontId="2" fillId="3" borderId="1" xfId="0" applyFont="1" applyFill="1" applyBorder="1" applyAlignment="1">
      <alignment horizontal="center"/>
    </xf>
    <xf numFmtId="3" fontId="2" fillId="3" borderId="1" xfId="0" applyNumberFormat="1" applyFont="1" applyFill="1" applyBorder="1" applyAlignment="1">
      <alignment horizontal="center"/>
    </xf>
    <xf numFmtId="0" fontId="1" fillId="3" borderId="2" xfId="1" applyFill="1"/>
    <xf numFmtId="0" fontId="3" fillId="3" borderId="0" xfId="0" applyFont="1" applyFill="1"/>
    <xf numFmtId="0" fontId="4" fillId="3" borderId="0" xfId="0" applyFont="1" applyFill="1" applyAlignment="1">
      <alignment horizontal="left" vertical="center" wrapText="1" indent="1"/>
    </xf>
    <xf numFmtId="14" fontId="2" fillId="3" borderId="0" xfId="0" applyNumberFormat="1" applyFont="1" applyFill="1"/>
    <xf numFmtId="0" fontId="1" fillId="3" borderId="2" xfId="1" applyFill="1" applyAlignment="1">
      <alignment horizontal="center"/>
    </xf>
  </cellXfs>
  <cellStyles count="2">
    <cellStyle name="Heading 1" xfId="1" builtinId="16"/>
    <cellStyle name="Normal" xfId="0" builtinId="0"/>
  </cellStyles>
  <dxfs count="97">
    <dxf>
      <font>
        <strike val="0"/>
        <outline val="0"/>
        <shadow val="0"/>
        <u val="none"/>
        <vertAlign val="baseline"/>
        <sz val="11"/>
        <color theme="0"/>
        <name val="Calibri"/>
        <family val="2"/>
        <scheme val="minor"/>
      </font>
      <numFmt numFmtId="3" formatCode="#,##0"/>
      <fill>
        <patternFill patternType="solid">
          <fgColor indexed="64"/>
          <bgColor theme="1" tint="4.9989318521683403E-2"/>
        </patternFill>
      </fill>
    </dxf>
    <dxf>
      <font>
        <strike val="0"/>
        <outline val="0"/>
        <shadow val="0"/>
        <u val="none"/>
        <vertAlign val="baseline"/>
        <sz val="11"/>
        <color theme="0"/>
        <name val="Calibri"/>
        <family val="2"/>
        <scheme val="minor"/>
      </font>
      <numFmt numFmtId="3" formatCode="#,##0"/>
      <fill>
        <patternFill patternType="solid">
          <fgColor indexed="64"/>
          <bgColor theme="1" tint="4.9989318521683403E-2"/>
        </patternFill>
      </fill>
    </dxf>
    <dxf>
      <font>
        <strike val="0"/>
        <outline val="0"/>
        <shadow val="0"/>
        <u val="none"/>
        <vertAlign val="baseline"/>
        <sz val="11"/>
        <color theme="0"/>
        <name val="Calibri"/>
        <family val="2"/>
        <scheme val="minor"/>
      </font>
      <numFmt numFmtId="3" formatCode="#,##0"/>
      <fill>
        <patternFill patternType="solid">
          <fgColor indexed="64"/>
          <bgColor theme="1" tint="4.9989318521683403E-2"/>
        </patternFill>
      </fill>
    </dxf>
    <dxf>
      <font>
        <strike val="0"/>
        <outline val="0"/>
        <shadow val="0"/>
        <u val="none"/>
        <vertAlign val="baseline"/>
        <sz val="11"/>
        <color theme="0"/>
        <name val="Calibri"/>
        <family val="2"/>
        <scheme val="minor"/>
      </font>
      <fill>
        <patternFill patternType="solid">
          <fgColor indexed="64"/>
          <bgColor theme="1" tint="4.9989318521683403E-2"/>
        </patternFill>
      </fill>
    </dxf>
    <dxf>
      <font>
        <strike val="0"/>
        <outline val="0"/>
        <shadow val="0"/>
        <u val="none"/>
        <vertAlign val="baseline"/>
        <sz val="11"/>
        <color theme="0"/>
        <name val="Calibri"/>
        <family val="2"/>
        <scheme val="minor"/>
      </font>
      <numFmt numFmtId="19" formatCode="dd/mm/yyyy"/>
      <fill>
        <patternFill patternType="solid">
          <fgColor indexed="64"/>
          <bgColor theme="1" tint="4.9989318521683403E-2"/>
        </patternFill>
      </fill>
    </dxf>
    <dxf>
      <font>
        <strike val="0"/>
        <outline val="0"/>
        <shadow val="0"/>
        <u val="none"/>
        <vertAlign val="baseline"/>
        <sz val="11"/>
        <color theme="0"/>
        <name val="Calibri"/>
        <family val="2"/>
        <scheme val="minor"/>
      </font>
      <fill>
        <patternFill patternType="solid">
          <fgColor indexed="64"/>
          <bgColor theme="1" tint="4.9989318521683403E-2"/>
        </patternFill>
      </fill>
    </dxf>
    <dxf>
      <font>
        <strike val="0"/>
        <outline val="0"/>
        <shadow val="0"/>
        <u val="none"/>
        <vertAlign val="baseline"/>
        <sz val="11"/>
        <color theme="0"/>
        <name val="Calibri"/>
        <family val="2"/>
        <scheme val="minor"/>
      </font>
      <fill>
        <patternFill patternType="solid">
          <fgColor indexed="64"/>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ont>
        <color theme="0"/>
      </font>
    </dxf>
    <dxf>
      <font>
        <color theme="0"/>
      </font>
    </dxf>
    <dxf>
      <font>
        <color theme="0"/>
      </font>
    </dxf>
    <dxf>
      <font>
        <color theme="0"/>
      </font>
    </dxf>
    <dxf>
      <font>
        <color theme="0"/>
      </font>
    </dxf>
    <dxf>
      <font>
        <color theme="0"/>
      </font>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ont>
        <color theme="0"/>
      </font>
    </dxf>
    <dxf>
      <font>
        <color theme="0"/>
      </font>
    </dxf>
    <dxf>
      <font>
        <color theme="0"/>
      </font>
    </dxf>
    <dxf>
      <font>
        <color theme="0"/>
      </font>
    </dxf>
    <dxf>
      <font>
        <color theme="0"/>
      </font>
    </dxf>
    <dxf>
      <font>
        <color theme="0"/>
      </font>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ont>
        <color theme="0"/>
      </font>
    </dxf>
    <dxf>
      <font>
        <color theme="0"/>
      </font>
    </dxf>
    <dxf>
      <font>
        <color theme="0"/>
      </font>
    </dxf>
    <dxf>
      <font>
        <color theme="0"/>
      </font>
    </dxf>
    <dxf>
      <font>
        <color theme="0"/>
      </font>
    </dxf>
    <dxf>
      <font>
        <color theme="0"/>
      </font>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ont>
        <color theme="0"/>
      </font>
    </dxf>
    <dxf>
      <font>
        <color theme="0"/>
      </font>
    </dxf>
    <dxf>
      <font>
        <color theme="0"/>
      </font>
    </dxf>
    <dxf>
      <font>
        <color theme="0"/>
      </font>
    </dxf>
    <dxf>
      <font>
        <color theme="0"/>
      </font>
    </dxf>
    <dxf>
      <font>
        <color theme="0"/>
      </font>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ont>
        <color theme="0"/>
      </font>
    </dxf>
    <dxf>
      <font>
        <color theme="0"/>
      </font>
    </dxf>
    <dxf>
      <font>
        <color theme="0"/>
      </font>
    </dxf>
    <dxf>
      <font>
        <color theme="0"/>
      </font>
    </dxf>
    <dxf>
      <font>
        <color theme="0"/>
      </font>
    </dxf>
    <dxf>
      <font>
        <color theme="0"/>
      </font>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[Ujwal_Dashboard.xlsm]PIVOT TABLE &amp; CHART!City</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City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 &amp; CHART'!$B$3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 &amp; CHART'!$A$4:$A$9</c:f>
              <c:strCache>
                <c:ptCount val="5"/>
                <c:pt idx="0">
                  <c:v>Bangalore</c:v>
                </c:pt>
                <c:pt idx="1">
                  <c:v>Cochin</c:v>
                </c:pt>
                <c:pt idx="2">
                  <c:v>Delhi</c:v>
                </c:pt>
                <c:pt idx="3">
                  <c:v>Hyderabad</c:v>
                </c:pt>
                <c:pt idx="4">
                  <c:v>Mumbai</c:v>
                </c:pt>
              </c:strCache>
            </c:strRef>
          </c:cat>
          <c:val>
            <c:numRef>
              <c:f>'PIVOT TABLE &amp; CHART'!$B$4:$B$9</c:f>
              <c:numCache>
                <c:formatCode>#,##0</c:formatCode>
                <c:ptCount val="5"/>
                <c:pt idx="0">
                  <c:v>1713080</c:v>
                </c:pt>
                <c:pt idx="1">
                  <c:v>1547332</c:v>
                </c:pt>
                <c:pt idx="2">
                  <c:v>1716725</c:v>
                </c:pt>
                <c:pt idx="3">
                  <c:v>1739380</c:v>
                </c:pt>
                <c:pt idx="4">
                  <c:v>1748089</c:v>
                </c:pt>
              </c:numCache>
            </c:numRef>
          </c:val>
          <c:smooth val="0"/>
          <c:extLst>
            <c:ext xmlns:c16="http://schemas.microsoft.com/office/drawing/2014/chart" uri="{C3380CC4-5D6E-409C-BE32-E72D297353CC}">
              <c16:uniqueId val="{00000000-4C79-47C7-BE43-16BF5572EF84}"/>
            </c:ext>
          </c:extLst>
        </c:ser>
        <c:dLbls>
          <c:dLblPos val="t"/>
          <c:showLegendKey val="0"/>
          <c:showVal val="1"/>
          <c:showCatName val="0"/>
          <c:showSerName val="0"/>
          <c:showPercent val="0"/>
          <c:showBubbleSize val="0"/>
        </c:dLbls>
        <c:marker val="1"/>
        <c:smooth val="0"/>
        <c:axId val="826904671"/>
        <c:axId val="826905151"/>
      </c:lineChart>
      <c:catAx>
        <c:axId val="82690467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26905151"/>
        <c:crosses val="autoZero"/>
        <c:auto val="1"/>
        <c:lblAlgn val="ctr"/>
        <c:lblOffset val="100"/>
        <c:noMultiLvlLbl val="0"/>
      </c:catAx>
      <c:valAx>
        <c:axId val="826905151"/>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26904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[Ujwal_Dashboard.xlsm]PIVOT TABLE &amp; CHART!Product</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Product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 &amp; CHART'!$B$14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 &amp; CHART'!$A$15:$A$21</c:f>
              <c:strCache>
                <c:ptCount val="6"/>
                <c:pt idx="0">
                  <c:v>Apple AirPods Pro</c:v>
                </c:pt>
                <c:pt idx="1">
                  <c:v>Dell XPS 13</c:v>
                </c:pt>
                <c:pt idx="2">
                  <c:v>HP Envy x360</c:v>
                </c:pt>
                <c:pt idx="3">
                  <c:v>iPhone 11 Pro</c:v>
                </c:pt>
                <c:pt idx="4">
                  <c:v>OnePlus 8 Pro</c:v>
                </c:pt>
                <c:pt idx="5">
                  <c:v>OnePlus Buds</c:v>
                </c:pt>
              </c:strCache>
            </c:strRef>
          </c:cat>
          <c:val>
            <c:numRef>
              <c:f>'PIVOT TABLE &amp; CHART'!$B$15:$B$21</c:f>
              <c:numCache>
                <c:formatCode>#,##0</c:formatCode>
                <c:ptCount val="6"/>
                <c:pt idx="0">
                  <c:v>791595</c:v>
                </c:pt>
                <c:pt idx="1">
                  <c:v>2363181</c:v>
                </c:pt>
                <c:pt idx="2">
                  <c:v>1142640</c:v>
                </c:pt>
                <c:pt idx="3">
                  <c:v>1664775</c:v>
                </c:pt>
                <c:pt idx="4">
                  <c:v>1624240</c:v>
                </c:pt>
                <c:pt idx="5">
                  <c:v>878175</c:v>
                </c:pt>
              </c:numCache>
            </c:numRef>
          </c:val>
          <c:extLst>
            <c:ext xmlns:c16="http://schemas.microsoft.com/office/drawing/2014/chart" uri="{C3380CC4-5D6E-409C-BE32-E72D297353CC}">
              <c16:uniqueId val="{00000000-8D21-44A2-8D1D-A00AABA3357F}"/>
            </c:ext>
          </c:extLst>
        </c:ser>
        <c:dLbls>
          <c:showLegendKey val="0"/>
          <c:showVal val="1"/>
          <c:showCatName val="0"/>
          <c:showSerName val="0"/>
          <c:showPercent val="0"/>
          <c:showBubbleSize val="0"/>
        </c:dLbls>
        <c:gapWidth val="150"/>
        <c:shape val="box"/>
        <c:axId val="1162876767"/>
        <c:axId val="1162877727"/>
        <c:axId val="0"/>
      </c:bar3DChart>
      <c:catAx>
        <c:axId val="116287676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62877727"/>
        <c:crosses val="autoZero"/>
        <c:auto val="1"/>
        <c:lblAlgn val="ctr"/>
        <c:lblOffset val="100"/>
        <c:noMultiLvlLbl val="0"/>
      </c:catAx>
      <c:valAx>
        <c:axId val="1162877727"/>
        <c:scaling>
          <c:orientation val="minMax"/>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62876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[Ujwal_Dashboard.xlsm]PIVOT TABLE &amp; CHART!Salesperson</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Salesrep</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 &amp; CHART'!$B$27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 &amp; CHART'!$A$28:$A$38</c:f>
              <c:strCache>
                <c:ptCount val="10"/>
                <c:pt idx="0">
                  <c:v>Riya</c:v>
                </c:pt>
                <c:pt idx="1">
                  <c:v>Pranav</c:v>
                </c:pt>
                <c:pt idx="2">
                  <c:v>Hritik</c:v>
                </c:pt>
                <c:pt idx="3">
                  <c:v>Priya</c:v>
                </c:pt>
                <c:pt idx="4">
                  <c:v>Nayan</c:v>
                </c:pt>
                <c:pt idx="5">
                  <c:v>Tejas</c:v>
                </c:pt>
                <c:pt idx="6">
                  <c:v>Shivani</c:v>
                </c:pt>
                <c:pt idx="7">
                  <c:v>Adesh</c:v>
                </c:pt>
                <c:pt idx="8">
                  <c:v>Pratik</c:v>
                </c:pt>
                <c:pt idx="9">
                  <c:v>Bunty</c:v>
                </c:pt>
              </c:strCache>
            </c:strRef>
          </c:cat>
          <c:val>
            <c:numRef>
              <c:f>'PIVOT TABLE &amp; CHART'!$B$28:$B$38</c:f>
              <c:numCache>
                <c:formatCode>#,##0</c:formatCode>
                <c:ptCount val="10"/>
                <c:pt idx="0">
                  <c:v>597890</c:v>
                </c:pt>
                <c:pt idx="1">
                  <c:v>717555</c:v>
                </c:pt>
                <c:pt idx="2">
                  <c:v>725580</c:v>
                </c:pt>
                <c:pt idx="3">
                  <c:v>742570</c:v>
                </c:pt>
                <c:pt idx="4">
                  <c:v>804762</c:v>
                </c:pt>
                <c:pt idx="5">
                  <c:v>846425</c:v>
                </c:pt>
                <c:pt idx="6">
                  <c:v>870300</c:v>
                </c:pt>
                <c:pt idx="7">
                  <c:v>995525</c:v>
                </c:pt>
                <c:pt idx="8">
                  <c:v>1022509</c:v>
                </c:pt>
                <c:pt idx="9">
                  <c:v>1141490</c:v>
                </c:pt>
              </c:numCache>
            </c:numRef>
          </c:val>
          <c:extLst>
            <c:ext xmlns:c16="http://schemas.microsoft.com/office/drawing/2014/chart" uri="{C3380CC4-5D6E-409C-BE32-E72D297353CC}">
              <c16:uniqueId val="{00000000-6EE1-4669-9AEB-6251F9C83BC9}"/>
            </c:ext>
          </c:extLst>
        </c:ser>
        <c:dLbls>
          <c:showLegendKey val="0"/>
          <c:showVal val="1"/>
          <c:showCatName val="0"/>
          <c:showSerName val="0"/>
          <c:showPercent val="0"/>
          <c:showBubbleSize val="0"/>
        </c:dLbls>
        <c:gapWidth val="150"/>
        <c:shape val="box"/>
        <c:axId val="1339620463"/>
        <c:axId val="1421927215"/>
        <c:axId val="0"/>
      </c:bar3DChart>
      <c:catAx>
        <c:axId val="133962046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1927215"/>
        <c:crosses val="autoZero"/>
        <c:auto val="1"/>
        <c:lblAlgn val="ctr"/>
        <c:lblOffset val="100"/>
        <c:noMultiLvlLbl val="0"/>
      </c:catAx>
      <c:valAx>
        <c:axId val="1421927215"/>
        <c:scaling>
          <c:orientation val="minMax"/>
        </c:scaling>
        <c:delete val="0"/>
        <c:axPos val="b"/>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39620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[Ujwal_Dashboard.xlsm]PIVOT TABLE &amp; CHART!Category</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Category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 TABLE &amp; CHART'!$B$48</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1CF-45A4-A619-69FAF2F8E0E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1CF-45A4-A619-69FAF2F8E0E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1CF-45A4-A619-69FAF2F8E0E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1"/>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 &amp; CHART'!$A$49:$A$52</c:f>
              <c:strCache>
                <c:ptCount val="3"/>
                <c:pt idx="0">
                  <c:v>Headphone</c:v>
                </c:pt>
                <c:pt idx="1">
                  <c:v>Laptop</c:v>
                </c:pt>
                <c:pt idx="2">
                  <c:v>Phone</c:v>
                </c:pt>
              </c:strCache>
            </c:strRef>
          </c:cat>
          <c:val>
            <c:numRef>
              <c:f>'PIVOT TABLE &amp; CHART'!$B$49:$B$52</c:f>
              <c:numCache>
                <c:formatCode>#,##0</c:formatCode>
                <c:ptCount val="3"/>
                <c:pt idx="0">
                  <c:v>1669770</c:v>
                </c:pt>
                <c:pt idx="1">
                  <c:v>3505821</c:v>
                </c:pt>
                <c:pt idx="2">
                  <c:v>3289015</c:v>
                </c:pt>
              </c:numCache>
            </c:numRef>
          </c:val>
          <c:extLst>
            <c:ext xmlns:c16="http://schemas.microsoft.com/office/drawing/2014/chart" uri="{C3380CC4-5D6E-409C-BE32-E72D297353CC}">
              <c16:uniqueId val="{00000000-71B5-4999-A197-B9717A505C0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[Ujwal_Dashboard.xlsm]PIVOT TABLE &amp; CHART!Month</c:name>
    <c:fmtId val="1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Sales By Months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&amp; CHART'!$B$61</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 &amp; CHART'!$A$62:$A$74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&amp; CHART'!$B$62:$B$74</c:f>
              <c:numCache>
                <c:formatCode>#,##0</c:formatCode>
                <c:ptCount val="12"/>
                <c:pt idx="0">
                  <c:v>640162</c:v>
                </c:pt>
                <c:pt idx="1">
                  <c:v>648716</c:v>
                </c:pt>
                <c:pt idx="2">
                  <c:v>610145</c:v>
                </c:pt>
                <c:pt idx="3">
                  <c:v>805897</c:v>
                </c:pt>
                <c:pt idx="4">
                  <c:v>679908</c:v>
                </c:pt>
                <c:pt idx="5">
                  <c:v>655666</c:v>
                </c:pt>
                <c:pt idx="6">
                  <c:v>833267</c:v>
                </c:pt>
                <c:pt idx="7">
                  <c:v>618466</c:v>
                </c:pt>
                <c:pt idx="8">
                  <c:v>632641</c:v>
                </c:pt>
                <c:pt idx="9">
                  <c:v>832298</c:v>
                </c:pt>
                <c:pt idx="10">
                  <c:v>660067</c:v>
                </c:pt>
                <c:pt idx="11">
                  <c:v>847373</c:v>
                </c:pt>
              </c:numCache>
            </c:numRef>
          </c:val>
          <c:extLst>
            <c:ext xmlns:c16="http://schemas.microsoft.com/office/drawing/2014/chart" uri="{C3380CC4-5D6E-409C-BE32-E72D297353CC}">
              <c16:uniqueId val="{00000000-221C-4134-A8A3-F7BA6CF73CE5}"/>
            </c:ext>
          </c:extLst>
        </c:ser>
        <c:dLbls>
          <c:dLblPos val="outEnd"/>
          <c:showLegendKey val="0"/>
          <c:showVal val="1"/>
          <c:showCatName val="0"/>
          <c:showSerName val="0"/>
          <c:showPercent val="0"/>
          <c:showBubbleSize val="0"/>
        </c:dLbls>
        <c:gapWidth val="182"/>
        <c:overlap val="-50"/>
        <c:axId val="1394266943"/>
        <c:axId val="1411191919"/>
      </c:barChart>
      <c:catAx>
        <c:axId val="1394266943"/>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11191919"/>
        <c:crosses val="autoZero"/>
        <c:auto val="1"/>
        <c:lblAlgn val="ctr"/>
        <c:lblOffset val="100"/>
        <c:noMultiLvlLbl val="0"/>
      </c:catAx>
      <c:valAx>
        <c:axId val="1411191919"/>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94266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[Ujwal_Dashboard.xlsm]PIVOT TABLE &amp; CHART!City</c:name>
    <c:fmtId val="4"/>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Sales By City</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87552535948779E-2"/>
          <c:y val="0.18195170784324194"/>
          <c:w val="0.87894884821509101"/>
          <c:h val="0.70003928283294126"/>
        </c:manualLayout>
      </c:layout>
      <c:lineChart>
        <c:grouping val="standard"/>
        <c:varyColors val="0"/>
        <c:ser>
          <c:idx val="0"/>
          <c:order val="0"/>
          <c:tx>
            <c:strRef>
              <c:f>'PIVOT TABLE &amp; CHART'!$B$3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TABLE &amp; CHART'!$A$4:$A$9</c:f>
              <c:strCache>
                <c:ptCount val="5"/>
                <c:pt idx="0">
                  <c:v>Bangalore</c:v>
                </c:pt>
                <c:pt idx="1">
                  <c:v>Cochin</c:v>
                </c:pt>
                <c:pt idx="2">
                  <c:v>Delhi</c:v>
                </c:pt>
                <c:pt idx="3">
                  <c:v>Hyderabad</c:v>
                </c:pt>
                <c:pt idx="4">
                  <c:v>Mumbai</c:v>
                </c:pt>
              </c:strCache>
            </c:strRef>
          </c:cat>
          <c:val>
            <c:numRef>
              <c:f>'PIVOT TABLE &amp; CHART'!$B$4:$B$9</c:f>
              <c:numCache>
                <c:formatCode>#,##0</c:formatCode>
                <c:ptCount val="5"/>
                <c:pt idx="0">
                  <c:v>1713080</c:v>
                </c:pt>
                <c:pt idx="1">
                  <c:v>1547332</c:v>
                </c:pt>
                <c:pt idx="2">
                  <c:v>1716725</c:v>
                </c:pt>
                <c:pt idx="3">
                  <c:v>1739380</c:v>
                </c:pt>
                <c:pt idx="4">
                  <c:v>1748089</c:v>
                </c:pt>
              </c:numCache>
            </c:numRef>
          </c:val>
          <c:smooth val="0"/>
          <c:extLst>
            <c:ext xmlns:c16="http://schemas.microsoft.com/office/drawing/2014/chart" uri="{C3380CC4-5D6E-409C-BE32-E72D297353CC}">
              <c16:uniqueId val="{00000000-CEAF-492F-B641-DACE2BD3199B}"/>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826904671"/>
        <c:axId val="826905151"/>
      </c:lineChart>
      <c:catAx>
        <c:axId val="826904671"/>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826905151"/>
        <c:crosses val="autoZero"/>
        <c:auto val="1"/>
        <c:lblAlgn val="ctr"/>
        <c:lblOffset val="100"/>
        <c:noMultiLvlLbl val="0"/>
      </c:catAx>
      <c:valAx>
        <c:axId val="826905151"/>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26904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[Ujwal_Dashboard.xlsm]PIVOT TABLE &amp; CHART!Product</c:name>
    <c:fmtId val="6"/>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Sales By Product</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20000"/>
              <a:lumOff val="80000"/>
            </a:schemeClr>
          </a:solidFill>
          <a:ln>
            <a:noFill/>
          </a:ln>
          <a:effectLst/>
          <a:sp3d/>
        </c:spPr>
        <c:marker>
          <c:symbol val="none"/>
        </c:marker>
        <c:dLbl>
          <c:idx val="0"/>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1">
            <a:alpha val="30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907996432818074"/>
          <c:y val="0.18662677106636838"/>
          <c:w val="0.87878894143863984"/>
          <c:h val="0.59830071198985457"/>
        </c:manualLayout>
      </c:layout>
      <c:bar3DChart>
        <c:barDir val="col"/>
        <c:grouping val="clustered"/>
        <c:varyColors val="0"/>
        <c:ser>
          <c:idx val="0"/>
          <c:order val="0"/>
          <c:tx>
            <c:strRef>
              <c:f>'PIVOT TABLE &amp; CHART'!$B$14</c:f>
              <c:strCache>
                <c:ptCount val="1"/>
                <c:pt idx="0">
                  <c:v>Total</c:v>
                </c:pt>
              </c:strCache>
            </c:strRef>
          </c:tx>
          <c:spPr>
            <a:solidFill>
              <a:schemeClr val="accent1">
                <a:lumMod val="20000"/>
                <a:lumOff val="80000"/>
              </a:schemeClr>
            </a:solidFill>
            <a:ln>
              <a:noFill/>
            </a:ln>
            <a:effectLst/>
            <a:sp3d/>
          </c:spPr>
          <c:invertIfNegative val="0"/>
          <c:dLbls>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TABLE &amp; CHART'!$A$15:$A$21</c:f>
              <c:strCache>
                <c:ptCount val="6"/>
                <c:pt idx="0">
                  <c:v>Apple AirPods Pro</c:v>
                </c:pt>
                <c:pt idx="1">
                  <c:v>Dell XPS 13</c:v>
                </c:pt>
                <c:pt idx="2">
                  <c:v>HP Envy x360</c:v>
                </c:pt>
                <c:pt idx="3">
                  <c:v>iPhone 11 Pro</c:v>
                </c:pt>
                <c:pt idx="4">
                  <c:v>OnePlus 8 Pro</c:v>
                </c:pt>
                <c:pt idx="5">
                  <c:v>OnePlus Buds</c:v>
                </c:pt>
              </c:strCache>
            </c:strRef>
          </c:cat>
          <c:val>
            <c:numRef>
              <c:f>'PIVOT TABLE &amp; CHART'!$B$15:$B$21</c:f>
              <c:numCache>
                <c:formatCode>#,##0</c:formatCode>
                <c:ptCount val="6"/>
                <c:pt idx="0">
                  <c:v>791595</c:v>
                </c:pt>
                <c:pt idx="1">
                  <c:v>2363181</c:v>
                </c:pt>
                <c:pt idx="2">
                  <c:v>1142640</c:v>
                </c:pt>
                <c:pt idx="3">
                  <c:v>1664775</c:v>
                </c:pt>
                <c:pt idx="4">
                  <c:v>1624240</c:v>
                </c:pt>
                <c:pt idx="5">
                  <c:v>878175</c:v>
                </c:pt>
              </c:numCache>
            </c:numRef>
          </c:val>
          <c:extLst>
            <c:ext xmlns:c16="http://schemas.microsoft.com/office/drawing/2014/chart" uri="{C3380CC4-5D6E-409C-BE32-E72D297353CC}">
              <c16:uniqueId val="{00000000-E539-4E65-AD75-6246836FAADC}"/>
            </c:ext>
          </c:extLst>
        </c:ser>
        <c:dLbls>
          <c:showLegendKey val="0"/>
          <c:showVal val="1"/>
          <c:showCatName val="0"/>
          <c:showSerName val="0"/>
          <c:showPercent val="0"/>
          <c:showBubbleSize val="0"/>
        </c:dLbls>
        <c:gapWidth val="154"/>
        <c:gapDepth val="0"/>
        <c:shape val="box"/>
        <c:axId val="1162876767"/>
        <c:axId val="1162877727"/>
        <c:axId val="0"/>
      </c:bar3DChart>
      <c:catAx>
        <c:axId val="1162876767"/>
        <c:scaling>
          <c:orientation val="minMax"/>
        </c:scaling>
        <c:delete val="0"/>
        <c:axPos val="b"/>
        <c:majorGridlines>
          <c:spPr>
            <a:ln w="9525" cap="flat" cmpd="sng" algn="ctr">
              <a:solidFill>
                <a:schemeClr val="lt1">
                  <a:lumMod val="60000"/>
                  <a:lumOff val="4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all" spc="150" normalizeH="0" baseline="0">
                <a:solidFill>
                  <a:schemeClr val="lt1"/>
                </a:solidFill>
                <a:latin typeface="+mn-lt"/>
                <a:ea typeface="+mn-ea"/>
                <a:cs typeface="+mn-cs"/>
              </a:defRPr>
            </a:pPr>
            <a:endParaRPr lang="en-US"/>
          </a:p>
        </c:txPr>
        <c:crossAx val="1162877727"/>
        <c:crosses val="autoZero"/>
        <c:auto val="1"/>
        <c:lblAlgn val="ctr"/>
        <c:lblOffset val="100"/>
        <c:noMultiLvlLbl val="0"/>
      </c:catAx>
      <c:valAx>
        <c:axId val="1162877727"/>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62876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[Ujwal_Dashboard.xlsm]PIVOT TABLE &amp; CHART!Salesperson</c:name>
    <c:fmtId val="7"/>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Sales By Salesrep</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20000"/>
              <a:lumOff val="80000"/>
            </a:schemeClr>
          </a:solidFill>
          <a:ln>
            <a:noFill/>
          </a:ln>
          <a:effectLst/>
          <a:sp3d/>
        </c:spPr>
        <c:marker>
          <c:symbol val="none"/>
        </c:marker>
        <c:dLbl>
          <c:idx val="0"/>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1">
            <a:alpha val="30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 &amp; CHART'!$B$27</c:f>
              <c:strCache>
                <c:ptCount val="1"/>
                <c:pt idx="0">
                  <c:v>Total</c:v>
                </c:pt>
              </c:strCache>
            </c:strRef>
          </c:tx>
          <c:spPr>
            <a:solidFill>
              <a:schemeClr val="accent1">
                <a:lumMod val="20000"/>
                <a:lumOff val="80000"/>
              </a:schemeClr>
            </a:solidFill>
            <a:ln>
              <a:noFill/>
            </a:ln>
            <a:effectLst/>
            <a:sp3d/>
          </c:spPr>
          <c:invertIfNegative val="0"/>
          <c:dLbls>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TABLE &amp; CHART'!$A$28:$A$38</c:f>
              <c:strCache>
                <c:ptCount val="10"/>
                <c:pt idx="0">
                  <c:v>Riya</c:v>
                </c:pt>
                <c:pt idx="1">
                  <c:v>Pranav</c:v>
                </c:pt>
                <c:pt idx="2">
                  <c:v>Hritik</c:v>
                </c:pt>
                <c:pt idx="3">
                  <c:v>Priya</c:v>
                </c:pt>
                <c:pt idx="4">
                  <c:v>Nayan</c:v>
                </c:pt>
                <c:pt idx="5">
                  <c:v>Tejas</c:v>
                </c:pt>
                <c:pt idx="6">
                  <c:v>Shivani</c:v>
                </c:pt>
                <c:pt idx="7">
                  <c:v>Adesh</c:v>
                </c:pt>
                <c:pt idx="8">
                  <c:v>Pratik</c:v>
                </c:pt>
                <c:pt idx="9">
                  <c:v>Bunty</c:v>
                </c:pt>
              </c:strCache>
            </c:strRef>
          </c:cat>
          <c:val>
            <c:numRef>
              <c:f>'PIVOT TABLE &amp; CHART'!$B$28:$B$38</c:f>
              <c:numCache>
                <c:formatCode>#,##0</c:formatCode>
                <c:ptCount val="10"/>
                <c:pt idx="0">
                  <c:v>597890</c:v>
                </c:pt>
                <c:pt idx="1">
                  <c:v>717555</c:v>
                </c:pt>
                <c:pt idx="2">
                  <c:v>725580</c:v>
                </c:pt>
                <c:pt idx="3">
                  <c:v>742570</c:v>
                </c:pt>
                <c:pt idx="4">
                  <c:v>804762</c:v>
                </c:pt>
                <c:pt idx="5">
                  <c:v>846425</c:v>
                </c:pt>
                <c:pt idx="6">
                  <c:v>870300</c:v>
                </c:pt>
                <c:pt idx="7">
                  <c:v>995525</c:v>
                </c:pt>
                <c:pt idx="8">
                  <c:v>1022509</c:v>
                </c:pt>
                <c:pt idx="9">
                  <c:v>1141490</c:v>
                </c:pt>
              </c:numCache>
            </c:numRef>
          </c:val>
          <c:extLst>
            <c:ext xmlns:c16="http://schemas.microsoft.com/office/drawing/2014/chart" uri="{C3380CC4-5D6E-409C-BE32-E72D297353CC}">
              <c16:uniqueId val="{00000000-B212-47B9-9A90-65BE8369767C}"/>
            </c:ext>
          </c:extLst>
        </c:ser>
        <c:dLbls>
          <c:showLegendKey val="0"/>
          <c:showVal val="1"/>
          <c:showCatName val="0"/>
          <c:showSerName val="0"/>
          <c:showPercent val="0"/>
          <c:showBubbleSize val="0"/>
        </c:dLbls>
        <c:gapWidth val="154"/>
        <c:gapDepth val="0"/>
        <c:shape val="box"/>
        <c:axId val="1339620463"/>
        <c:axId val="1421927215"/>
        <c:axId val="0"/>
      </c:bar3DChart>
      <c:catAx>
        <c:axId val="1339620463"/>
        <c:scaling>
          <c:orientation val="minMax"/>
        </c:scaling>
        <c:delete val="0"/>
        <c:axPos val="l"/>
        <c:majorGridlines>
          <c:spPr>
            <a:ln w="9525" cap="flat" cmpd="sng" algn="ctr">
              <a:solidFill>
                <a:schemeClr val="lt1">
                  <a:lumMod val="60000"/>
                  <a:lumOff val="4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all" spc="150" normalizeH="0" baseline="0">
                <a:solidFill>
                  <a:schemeClr val="lt1"/>
                </a:solidFill>
                <a:latin typeface="+mn-lt"/>
                <a:ea typeface="+mn-ea"/>
                <a:cs typeface="+mn-cs"/>
              </a:defRPr>
            </a:pPr>
            <a:endParaRPr lang="en-US"/>
          </a:p>
        </c:txPr>
        <c:crossAx val="1421927215"/>
        <c:crosses val="autoZero"/>
        <c:auto val="1"/>
        <c:lblAlgn val="ctr"/>
        <c:lblOffset val="100"/>
        <c:noMultiLvlLbl val="0"/>
      </c:catAx>
      <c:valAx>
        <c:axId val="1421927215"/>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39620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[Ujwal_Dashboard.xlsm]PIVOT TABLE &amp; CHART!Category</c:name>
    <c:fmtId val="1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Sales By Category</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dLblPos val="inEnd"/>
          <c:showLegendKey val="0"/>
          <c:showVal val="1"/>
          <c:showCatName val="1"/>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1"/>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lt1"/>
          </a:solidFill>
          <a:ln w="19050">
            <a:solidFill>
              <a:schemeClr val="accent1"/>
            </a:solidFill>
          </a:ln>
          <a:effectLst/>
        </c:spPr>
      </c:pivotFmt>
      <c:pivotFmt>
        <c:idx val="7"/>
        <c:spPr>
          <a:solidFill>
            <a:schemeClr val="lt1"/>
          </a:solidFill>
          <a:ln w="19050">
            <a:solidFill>
              <a:schemeClr val="accent1"/>
            </a:solidFill>
          </a:ln>
          <a:effectLst/>
        </c:spPr>
      </c:pivotFmt>
      <c:pivotFmt>
        <c:idx val="8"/>
        <c:spPr>
          <a:solidFill>
            <a:schemeClr val="lt1"/>
          </a:solidFill>
          <a:ln w="19050">
            <a:solidFill>
              <a:schemeClr val="accent1"/>
            </a:solidFill>
          </a:ln>
          <a:effectLst/>
        </c:spPr>
      </c:pivotFmt>
    </c:pivotFmts>
    <c:plotArea>
      <c:layout/>
      <c:pieChart>
        <c:varyColors val="1"/>
        <c:ser>
          <c:idx val="0"/>
          <c:order val="0"/>
          <c:tx>
            <c:strRef>
              <c:f>'PIVOT TABLE &amp; CHART'!$B$48</c:f>
              <c:strCache>
                <c:ptCount val="1"/>
                <c:pt idx="0">
                  <c:v>Total</c:v>
                </c:pt>
              </c:strCache>
            </c:strRef>
          </c:tx>
          <c:spPr>
            <a:solidFill>
              <a:schemeClr val="lt1"/>
            </a:solidFill>
            <a:ln w="19050">
              <a:solidFill>
                <a:schemeClr val="accent1"/>
              </a:solidFill>
            </a:ln>
            <a:effectLst/>
          </c:spPr>
          <c:dPt>
            <c:idx val="0"/>
            <c:bubble3D val="0"/>
            <c:spPr>
              <a:solidFill>
                <a:schemeClr val="lt1"/>
              </a:solidFill>
              <a:ln w="19050">
                <a:solidFill>
                  <a:schemeClr val="accent1"/>
                </a:solidFill>
              </a:ln>
              <a:effectLst/>
            </c:spPr>
            <c:extLst>
              <c:ext xmlns:c16="http://schemas.microsoft.com/office/drawing/2014/chart" uri="{C3380CC4-5D6E-409C-BE32-E72D297353CC}">
                <c16:uniqueId val="{00000001-35AF-4A40-9778-A75B28F7FC9F}"/>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3-35AF-4A40-9778-A75B28F7FC9F}"/>
              </c:ext>
            </c:extLst>
          </c:dPt>
          <c:dPt>
            <c:idx val="2"/>
            <c:bubble3D val="0"/>
            <c:spPr>
              <a:solidFill>
                <a:schemeClr val="lt1"/>
              </a:solidFill>
              <a:ln w="19050">
                <a:solidFill>
                  <a:schemeClr val="accent1"/>
                </a:solidFill>
              </a:ln>
              <a:effectLst/>
            </c:spPr>
            <c:extLst>
              <c:ext xmlns:c16="http://schemas.microsoft.com/office/drawing/2014/chart" uri="{C3380CC4-5D6E-409C-BE32-E72D297353CC}">
                <c16:uniqueId val="{00000005-35AF-4A40-9778-A75B28F7FC9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1"/>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 TABLE &amp; CHART'!$A$49:$A$52</c:f>
              <c:strCache>
                <c:ptCount val="3"/>
                <c:pt idx="0">
                  <c:v>Headphone</c:v>
                </c:pt>
                <c:pt idx="1">
                  <c:v>Laptop</c:v>
                </c:pt>
                <c:pt idx="2">
                  <c:v>Phone</c:v>
                </c:pt>
              </c:strCache>
            </c:strRef>
          </c:cat>
          <c:val>
            <c:numRef>
              <c:f>'PIVOT TABLE &amp; CHART'!$B$49:$B$52</c:f>
              <c:numCache>
                <c:formatCode>#,##0</c:formatCode>
                <c:ptCount val="3"/>
                <c:pt idx="0">
                  <c:v>1669770</c:v>
                </c:pt>
                <c:pt idx="1">
                  <c:v>3505821</c:v>
                </c:pt>
                <c:pt idx="2">
                  <c:v>3289015</c:v>
                </c:pt>
              </c:numCache>
            </c:numRef>
          </c:val>
          <c:extLst>
            <c:ext xmlns:c16="http://schemas.microsoft.com/office/drawing/2014/chart" uri="{C3380CC4-5D6E-409C-BE32-E72D297353CC}">
              <c16:uniqueId val="{00000006-35AF-4A40-9778-A75B28F7FC9F}"/>
            </c:ext>
          </c:extLst>
        </c:ser>
        <c:dLbls>
          <c:dLblPos val="inEnd"/>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[Ujwal_Dashboard.xlsm]PIVOT TABLE &amp; CHART!Month</c:name>
    <c:fmtId val="17"/>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Sales By Months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a:noFill/>
          </a:ln>
          <a:effectLst/>
        </c:spPr>
        <c:marker>
          <c:symbol val="none"/>
        </c:marker>
        <c:dLbl>
          <c:idx val="0"/>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&amp; CHART'!$B$61</c:f>
              <c:strCache>
                <c:ptCount val="1"/>
                <c:pt idx="0">
                  <c:v>Total</c:v>
                </c:pt>
              </c:strCache>
            </c:strRef>
          </c:tx>
          <c:spPr>
            <a:pattFill prst="ltUpDiag">
              <a:fgClr>
                <a:schemeClr val="accent1"/>
              </a:fgClr>
              <a:bgClr>
                <a:schemeClr val="lt1"/>
              </a:bgClr>
            </a:pattFill>
            <a:ln>
              <a:noFill/>
            </a:ln>
            <a:effectLst/>
          </c:spPr>
          <c:invertIfNegative val="0"/>
          <c:dLbls>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TABLE &amp; CHART'!$A$62:$A$74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&amp; CHART'!$B$62:$B$74</c:f>
              <c:numCache>
                <c:formatCode>#,##0</c:formatCode>
                <c:ptCount val="12"/>
                <c:pt idx="0">
                  <c:v>640162</c:v>
                </c:pt>
                <c:pt idx="1">
                  <c:v>648716</c:v>
                </c:pt>
                <c:pt idx="2">
                  <c:v>610145</c:v>
                </c:pt>
                <c:pt idx="3">
                  <c:v>805897</c:v>
                </c:pt>
                <c:pt idx="4">
                  <c:v>679908</c:v>
                </c:pt>
                <c:pt idx="5">
                  <c:v>655666</c:v>
                </c:pt>
                <c:pt idx="6">
                  <c:v>833267</c:v>
                </c:pt>
                <c:pt idx="7">
                  <c:v>618466</c:v>
                </c:pt>
                <c:pt idx="8">
                  <c:v>632641</c:v>
                </c:pt>
                <c:pt idx="9">
                  <c:v>832298</c:v>
                </c:pt>
                <c:pt idx="10">
                  <c:v>660067</c:v>
                </c:pt>
                <c:pt idx="11">
                  <c:v>847373</c:v>
                </c:pt>
              </c:numCache>
            </c:numRef>
          </c:val>
          <c:extLst>
            <c:ext xmlns:c16="http://schemas.microsoft.com/office/drawing/2014/chart" uri="{C3380CC4-5D6E-409C-BE32-E72D297353CC}">
              <c16:uniqueId val="{00000000-13D2-4F5A-8F56-143BA9AB4006}"/>
            </c:ext>
          </c:extLst>
        </c:ser>
        <c:dLbls>
          <c:dLblPos val="outEnd"/>
          <c:showLegendKey val="0"/>
          <c:showVal val="1"/>
          <c:showCatName val="0"/>
          <c:showSerName val="0"/>
          <c:showPercent val="0"/>
          <c:showBubbleSize val="0"/>
        </c:dLbls>
        <c:gapWidth val="269"/>
        <c:overlap val="-20"/>
        <c:axId val="1394266943"/>
        <c:axId val="1411191919"/>
      </c:barChart>
      <c:catAx>
        <c:axId val="1394266943"/>
        <c:scaling>
          <c:orientation val="minMax"/>
        </c:scaling>
        <c:delete val="0"/>
        <c:axPos val="l"/>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1411191919"/>
        <c:crosses val="autoZero"/>
        <c:auto val="1"/>
        <c:lblAlgn val="ctr"/>
        <c:lblOffset val="100"/>
        <c:noMultiLvlLbl val="0"/>
      </c:catAx>
      <c:valAx>
        <c:axId val="1411191919"/>
        <c:scaling>
          <c:orientation val="minMax"/>
        </c:scaling>
        <c:delete val="0"/>
        <c:axPos val="b"/>
        <c:majorGridlines>
          <c:spPr>
            <a:ln w="9525" cap="flat" cmpd="sng" algn="ctr">
              <a:solidFill>
                <a:schemeClr val="lt1">
                  <a:alpha val="2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94266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58743351453976E-2"/>
          <c:y val="3.1790559455438565E-2"/>
          <c:w val="0.9166642978131353"/>
          <c:h val="0.70488681809875764"/>
        </c:manualLayout>
      </c:layout>
      <c:lineChart>
        <c:grouping val="standard"/>
        <c:varyColors val="0"/>
        <c:ser>
          <c:idx val="0"/>
          <c:order val="0"/>
          <c:tx>
            <c:strRef>
              <c:f>'FORECAST SHEET'!$B$3</c:f>
              <c:strCache>
                <c:ptCount val="1"/>
                <c:pt idx="0">
                  <c:v>Amount</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val>
            <c:numRef>
              <c:f>'FORECAST SHEET'!$B$4:$B$68</c:f>
              <c:numCache>
                <c:formatCode>#,##0</c:formatCode>
                <c:ptCount val="65"/>
                <c:pt idx="0">
                  <c:v>5493.0666666666666</c:v>
                </c:pt>
                <c:pt idx="1">
                  <c:v>5258.666666666667</c:v>
                </c:pt>
                <c:pt idx="2">
                  <c:v>4983</c:v>
                </c:pt>
                <c:pt idx="3">
                  <c:v>5604</c:v>
                </c:pt>
                <c:pt idx="4">
                  <c:v>5980.5333333333338</c:v>
                </c:pt>
                <c:pt idx="5">
                  <c:v>5031.1000000000004</c:v>
                </c:pt>
                <c:pt idx="6">
                  <c:v>5309.2</c:v>
                </c:pt>
                <c:pt idx="7">
                  <c:v>5303.0333333333338</c:v>
                </c:pt>
                <c:pt idx="8">
                  <c:v>4987.3</c:v>
                </c:pt>
                <c:pt idx="9">
                  <c:v>4876.7333333333336</c:v>
                </c:pt>
                <c:pt idx="10">
                  <c:v>5317.666666666667</c:v>
                </c:pt>
                <c:pt idx="11">
                  <c:v>5156.4666666666662</c:v>
                </c:pt>
                <c:pt idx="12">
                  <c:v>5616.5666666666666</c:v>
                </c:pt>
                <c:pt idx="13">
                  <c:v>5114.0666666666666</c:v>
                </c:pt>
                <c:pt idx="14">
                  <c:v>5291.833333333333</c:v>
                </c:pt>
                <c:pt idx="15">
                  <c:v>5226.6000000000004</c:v>
                </c:pt>
                <c:pt idx="16">
                  <c:v>5614.166666666667</c:v>
                </c:pt>
                <c:pt idx="17">
                  <c:v>5611.7</c:v>
                </c:pt>
                <c:pt idx="18">
                  <c:v>5264.2666666666664</c:v>
                </c:pt>
                <c:pt idx="19">
                  <c:v>6060.7</c:v>
                </c:pt>
                <c:pt idx="20">
                  <c:v>5726.9333333333334</c:v>
                </c:pt>
                <c:pt idx="21">
                  <c:v>5239.6000000000004</c:v>
                </c:pt>
                <c:pt idx="22">
                  <c:v>5837.2</c:v>
                </c:pt>
                <c:pt idx="23">
                  <c:v>5198.4333333333334</c:v>
                </c:pt>
                <c:pt idx="24">
                  <c:v>5580.3</c:v>
                </c:pt>
                <c:pt idx="25">
                  <c:v>5725.1</c:v>
                </c:pt>
                <c:pt idx="26">
                  <c:v>5127.2666666666664</c:v>
                </c:pt>
                <c:pt idx="27">
                  <c:v>5487.2333333333336</c:v>
                </c:pt>
                <c:pt idx="28">
                  <c:v>5744.7</c:v>
                </c:pt>
                <c:pt idx="29">
                  <c:v>5691.2666666666664</c:v>
                </c:pt>
                <c:pt idx="30">
                  <c:v>5591.2</c:v>
                </c:pt>
                <c:pt idx="31">
                  <c:v>4921.7333333333336</c:v>
                </c:pt>
                <c:pt idx="32">
                  <c:v>4825.0333333333338</c:v>
                </c:pt>
                <c:pt idx="33">
                  <c:v>5277.5666666666666</c:v>
                </c:pt>
                <c:pt idx="34">
                  <c:v>5047.833333333333</c:v>
                </c:pt>
                <c:pt idx="35">
                  <c:v>5479.8666666666668</c:v>
                </c:pt>
                <c:pt idx="36">
                  <c:v>5356.3666666666668</c:v>
                </c:pt>
                <c:pt idx="37">
                  <c:v>5203.9666666666662</c:v>
                </c:pt>
                <c:pt idx="38">
                  <c:v>5532.1</c:v>
                </c:pt>
                <c:pt idx="39">
                  <c:v>6086</c:v>
                </c:pt>
                <c:pt idx="40">
                  <c:v>5541.333333333333</c:v>
                </c:pt>
                <c:pt idx="41">
                  <c:v>5010.4666666666662</c:v>
                </c:pt>
                <c:pt idx="42">
                  <c:v>5573.3666666666668</c:v>
                </c:pt>
                <c:pt idx="43">
                  <c:v>5415.6</c:v>
                </c:pt>
                <c:pt idx="44">
                  <c:v>5207.8999999999996</c:v>
                </c:pt>
                <c:pt idx="45">
                  <c:v>6121.2666666666664</c:v>
                </c:pt>
                <c:pt idx="46">
                  <c:v>5257.4666666666662</c:v>
                </c:pt>
                <c:pt idx="47">
                  <c:v>5539.7666666666664</c:v>
                </c:pt>
                <c:pt idx="48">
                  <c:v>6016.0666666666666</c:v>
                </c:pt>
                <c:pt idx="49">
                  <c:v>5982.8</c:v>
                </c:pt>
                <c:pt idx="50">
                  <c:v>5041.6000000000004</c:v>
                </c:pt>
                <c:pt idx="51">
                  <c:v>5665.5333333333338</c:v>
                </c:pt>
              </c:numCache>
            </c:numRef>
          </c:val>
          <c:smooth val="0"/>
          <c:extLst>
            <c:ext xmlns:c16="http://schemas.microsoft.com/office/drawing/2014/chart" uri="{C3380CC4-5D6E-409C-BE32-E72D297353CC}">
              <c16:uniqueId val="{00000000-3B82-470B-908D-99E6842EBC82}"/>
            </c:ext>
          </c:extLst>
        </c:ser>
        <c:ser>
          <c:idx val="1"/>
          <c:order val="1"/>
          <c:tx>
            <c:strRef>
              <c:f>'FORECAST SHEET'!$C$3</c:f>
              <c:strCache>
                <c:ptCount val="1"/>
                <c:pt idx="0">
                  <c:v>Forecast(Amount)</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'FORECAST SHEET'!$A$4:$A$68</c:f>
              <c:numCache>
                <c:formatCode>m/d/yyyy</c:formatCode>
                <c:ptCount val="65"/>
                <c:pt idx="0">
                  <c:v>44204</c:v>
                </c:pt>
                <c:pt idx="1">
                  <c:v>44211</c:v>
                </c:pt>
                <c:pt idx="2">
                  <c:v>44218</c:v>
                </c:pt>
                <c:pt idx="3">
                  <c:v>44225</c:v>
                </c:pt>
                <c:pt idx="4">
                  <c:v>44232</c:v>
                </c:pt>
                <c:pt idx="5">
                  <c:v>44239</c:v>
                </c:pt>
                <c:pt idx="6">
                  <c:v>44246</c:v>
                </c:pt>
                <c:pt idx="7">
                  <c:v>44253</c:v>
                </c:pt>
                <c:pt idx="8">
                  <c:v>44260</c:v>
                </c:pt>
                <c:pt idx="9">
                  <c:v>44267</c:v>
                </c:pt>
                <c:pt idx="10">
                  <c:v>44274</c:v>
                </c:pt>
                <c:pt idx="11">
                  <c:v>44281</c:v>
                </c:pt>
                <c:pt idx="12">
                  <c:v>44288</c:v>
                </c:pt>
                <c:pt idx="13">
                  <c:v>44295</c:v>
                </c:pt>
                <c:pt idx="14">
                  <c:v>44302</c:v>
                </c:pt>
                <c:pt idx="15">
                  <c:v>44309</c:v>
                </c:pt>
                <c:pt idx="16">
                  <c:v>44316</c:v>
                </c:pt>
                <c:pt idx="17">
                  <c:v>44323</c:v>
                </c:pt>
                <c:pt idx="18">
                  <c:v>44330</c:v>
                </c:pt>
                <c:pt idx="19">
                  <c:v>44337</c:v>
                </c:pt>
                <c:pt idx="20">
                  <c:v>44344</c:v>
                </c:pt>
                <c:pt idx="21">
                  <c:v>44351</c:v>
                </c:pt>
                <c:pt idx="22">
                  <c:v>44358</c:v>
                </c:pt>
                <c:pt idx="23">
                  <c:v>44365</c:v>
                </c:pt>
                <c:pt idx="24">
                  <c:v>44372</c:v>
                </c:pt>
                <c:pt idx="25">
                  <c:v>44379</c:v>
                </c:pt>
                <c:pt idx="26">
                  <c:v>44386</c:v>
                </c:pt>
                <c:pt idx="27">
                  <c:v>44393</c:v>
                </c:pt>
                <c:pt idx="28">
                  <c:v>44400</c:v>
                </c:pt>
                <c:pt idx="29">
                  <c:v>44407</c:v>
                </c:pt>
                <c:pt idx="30">
                  <c:v>44414</c:v>
                </c:pt>
                <c:pt idx="31">
                  <c:v>44421</c:v>
                </c:pt>
                <c:pt idx="32">
                  <c:v>44428</c:v>
                </c:pt>
                <c:pt idx="33">
                  <c:v>44435</c:v>
                </c:pt>
                <c:pt idx="34">
                  <c:v>44442</c:v>
                </c:pt>
                <c:pt idx="35">
                  <c:v>44449</c:v>
                </c:pt>
                <c:pt idx="36">
                  <c:v>44456</c:v>
                </c:pt>
                <c:pt idx="37">
                  <c:v>44463</c:v>
                </c:pt>
                <c:pt idx="38">
                  <c:v>44470</c:v>
                </c:pt>
                <c:pt idx="39">
                  <c:v>44477</c:v>
                </c:pt>
                <c:pt idx="40">
                  <c:v>44484</c:v>
                </c:pt>
                <c:pt idx="41">
                  <c:v>44491</c:v>
                </c:pt>
                <c:pt idx="42">
                  <c:v>44498</c:v>
                </c:pt>
                <c:pt idx="43">
                  <c:v>44505</c:v>
                </c:pt>
                <c:pt idx="44">
                  <c:v>44512</c:v>
                </c:pt>
                <c:pt idx="45">
                  <c:v>44519</c:v>
                </c:pt>
                <c:pt idx="46">
                  <c:v>44526</c:v>
                </c:pt>
                <c:pt idx="47">
                  <c:v>44533</c:v>
                </c:pt>
                <c:pt idx="48">
                  <c:v>44540</c:v>
                </c:pt>
                <c:pt idx="49">
                  <c:v>44547</c:v>
                </c:pt>
                <c:pt idx="50">
                  <c:v>44554</c:v>
                </c:pt>
                <c:pt idx="51">
                  <c:v>44561</c:v>
                </c:pt>
                <c:pt idx="52">
                  <c:v>44568</c:v>
                </c:pt>
                <c:pt idx="53">
                  <c:v>44575</c:v>
                </c:pt>
                <c:pt idx="54">
                  <c:v>44582</c:v>
                </c:pt>
                <c:pt idx="55">
                  <c:v>44589</c:v>
                </c:pt>
                <c:pt idx="56">
                  <c:v>44596</c:v>
                </c:pt>
                <c:pt idx="57">
                  <c:v>44603</c:v>
                </c:pt>
                <c:pt idx="58">
                  <c:v>44610</c:v>
                </c:pt>
                <c:pt idx="59">
                  <c:v>44617</c:v>
                </c:pt>
                <c:pt idx="60">
                  <c:v>44624</c:v>
                </c:pt>
                <c:pt idx="61">
                  <c:v>44631</c:v>
                </c:pt>
                <c:pt idx="62">
                  <c:v>44638</c:v>
                </c:pt>
                <c:pt idx="63">
                  <c:v>44645</c:v>
                </c:pt>
                <c:pt idx="64">
                  <c:v>44652</c:v>
                </c:pt>
              </c:numCache>
            </c:numRef>
          </c:cat>
          <c:val>
            <c:numRef>
              <c:f>'FORECAST SHEET'!$C$4:$C$68</c:f>
              <c:numCache>
                <c:formatCode>General</c:formatCode>
                <c:ptCount val="65"/>
                <c:pt idx="51" formatCode="#,##0">
                  <c:v>5665.5333333333338</c:v>
                </c:pt>
                <c:pt idx="52" formatCode="#,##0">
                  <c:v>5557.1308015720897</c:v>
                </c:pt>
                <c:pt idx="53" formatCode="#,##0">
                  <c:v>5560.802639993477</c:v>
                </c:pt>
                <c:pt idx="54" formatCode="#,##0">
                  <c:v>5564.4744784148643</c:v>
                </c:pt>
                <c:pt idx="55" formatCode="#,##0">
                  <c:v>5568.1463168362516</c:v>
                </c:pt>
                <c:pt idx="56" formatCode="#,##0">
                  <c:v>5571.8181552576398</c:v>
                </c:pt>
                <c:pt idx="57" formatCode="#,##0">
                  <c:v>5575.4899936790271</c:v>
                </c:pt>
                <c:pt idx="58" formatCode="#,##0">
                  <c:v>5579.1618321004144</c:v>
                </c:pt>
                <c:pt idx="59" formatCode="#,##0">
                  <c:v>5582.8336705218017</c:v>
                </c:pt>
                <c:pt idx="60" formatCode="#,##0">
                  <c:v>5586.5055089431889</c:v>
                </c:pt>
                <c:pt idx="61" formatCode="#,##0">
                  <c:v>5590.1773473645762</c:v>
                </c:pt>
                <c:pt idx="62" formatCode="#,##0">
                  <c:v>5593.8491857859635</c:v>
                </c:pt>
                <c:pt idx="63" formatCode="#,##0">
                  <c:v>5597.5210242073508</c:v>
                </c:pt>
                <c:pt idx="64" formatCode="#,##0">
                  <c:v>5601.192862628739</c:v>
                </c:pt>
              </c:numCache>
            </c:numRef>
          </c:val>
          <c:smooth val="0"/>
          <c:extLst>
            <c:ext xmlns:c16="http://schemas.microsoft.com/office/drawing/2014/chart" uri="{C3380CC4-5D6E-409C-BE32-E72D297353CC}">
              <c16:uniqueId val="{00000001-3B82-470B-908D-99E6842EBC82}"/>
            </c:ext>
          </c:extLst>
        </c:ser>
        <c:ser>
          <c:idx val="2"/>
          <c:order val="2"/>
          <c:tx>
            <c:strRef>
              <c:f>'FORECAST SHEET'!$D$3</c:f>
              <c:strCache>
                <c:ptCount val="1"/>
                <c:pt idx="0">
                  <c:v>Lower Confidence Bound(Amount)</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f>'FORECAST SHEET'!$A$4:$A$68</c:f>
              <c:numCache>
                <c:formatCode>m/d/yyyy</c:formatCode>
                <c:ptCount val="65"/>
                <c:pt idx="0">
                  <c:v>44204</c:v>
                </c:pt>
                <c:pt idx="1">
                  <c:v>44211</c:v>
                </c:pt>
                <c:pt idx="2">
                  <c:v>44218</c:v>
                </c:pt>
                <c:pt idx="3">
                  <c:v>44225</c:v>
                </c:pt>
                <c:pt idx="4">
                  <c:v>44232</c:v>
                </c:pt>
                <c:pt idx="5">
                  <c:v>44239</c:v>
                </c:pt>
                <c:pt idx="6">
                  <c:v>44246</c:v>
                </c:pt>
                <c:pt idx="7">
                  <c:v>44253</c:v>
                </c:pt>
                <c:pt idx="8">
                  <c:v>44260</c:v>
                </c:pt>
                <c:pt idx="9">
                  <c:v>44267</c:v>
                </c:pt>
                <c:pt idx="10">
                  <c:v>44274</c:v>
                </c:pt>
                <c:pt idx="11">
                  <c:v>44281</c:v>
                </c:pt>
                <c:pt idx="12">
                  <c:v>44288</c:v>
                </c:pt>
                <c:pt idx="13">
                  <c:v>44295</c:v>
                </c:pt>
                <c:pt idx="14">
                  <c:v>44302</c:v>
                </c:pt>
                <c:pt idx="15">
                  <c:v>44309</c:v>
                </c:pt>
                <c:pt idx="16">
                  <c:v>44316</c:v>
                </c:pt>
                <c:pt idx="17">
                  <c:v>44323</c:v>
                </c:pt>
                <c:pt idx="18">
                  <c:v>44330</c:v>
                </c:pt>
                <c:pt idx="19">
                  <c:v>44337</c:v>
                </c:pt>
                <c:pt idx="20">
                  <c:v>44344</c:v>
                </c:pt>
                <c:pt idx="21">
                  <c:v>44351</c:v>
                </c:pt>
                <c:pt idx="22">
                  <c:v>44358</c:v>
                </c:pt>
                <c:pt idx="23">
                  <c:v>44365</c:v>
                </c:pt>
                <c:pt idx="24">
                  <c:v>44372</c:v>
                </c:pt>
                <c:pt idx="25">
                  <c:v>44379</c:v>
                </c:pt>
                <c:pt idx="26">
                  <c:v>44386</c:v>
                </c:pt>
                <c:pt idx="27">
                  <c:v>44393</c:v>
                </c:pt>
                <c:pt idx="28">
                  <c:v>44400</c:v>
                </c:pt>
                <c:pt idx="29">
                  <c:v>44407</c:v>
                </c:pt>
                <c:pt idx="30">
                  <c:v>44414</c:v>
                </c:pt>
                <c:pt idx="31">
                  <c:v>44421</c:v>
                </c:pt>
                <c:pt idx="32">
                  <c:v>44428</c:v>
                </c:pt>
                <c:pt idx="33">
                  <c:v>44435</c:v>
                </c:pt>
                <c:pt idx="34">
                  <c:v>44442</c:v>
                </c:pt>
                <c:pt idx="35">
                  <c:v>44449</c:v>
                </c:pt>
                <c:pt idx="36">
                  <c:v>44456</c:v>
                </c:pt>
                <c:pt idx="37">
                  <c:v>44463</c:v>
                </c:pt>
                <c:pt idx="38">
                  <c:v>44470</c:v>
                </c:pt>
                <c:pt idx="39">
                  <c:v>44477</c:v>
                </c:pt>
                <c:pt idx="40">
                  <c:v>44484</c:v>
                </c:pt>
                <c:pt idx="41">
                  <c:v>44491</c:v>
                </c:pt>
                <c:pt idx="42">
                  <c:v>44498</c:v>
                </c:pt>
                <c:pt idx="43">
                  <c:v>44505</c:v>
                </c:pt>
                <c:pt idx="44">
                  <c:v>44512</c:v>
                </c:pt>
                <c:pt idx="45">
                  <c:v>44519</c:v>
                </c:pt>
                <c:pt idx="46">
                  <c:v>44526</c:v>
                </c:pt>
                <c:pt idx="47">
                  <c:v>44533</c:v>
                </c:pt>
                <c:pt idx="48">
                  <c:v>44540</c:v>
                </c:pt>
                <c:pt idx="49">
                  <c:v>44547</c:v>
                </c:pt>
                <c:pt idx="50">
                  <c:v>44554</c:v>
                </c:pt>
                <c:pt idx="51">
                  <c:v>44561</c:v>
                </c:pt>
                <c:pt idx="52">
                  <c:v>44568</c:v>
                </c:pt>
                <c:pt idx="53">
                  <c:v>44575</c:v>
                </c:pt>
                <c:pt idx="54">
                  <c:v>44582</c:v>
                </c:pt>
                <c:pt idx="55">
                  <c:v>44589</c:v>
                </c:pt>
                <c:pt idx="56">
                  <c:v>44596</c:v>
                </c:pt>
                <c:pt idx="57">
                  <c:v>44603</c:v>
                </c:pt>
                <c:pt idx="58">
                  <c:v>44610</c:v>
                </c:pt>
                <c:pt idx="59">
                  <c:v>44617</c:v>
                </c:pt>
                <c:pt idx="60">
                  <c:v>44624</c:v>
                </c:pt>
                <c:pt idx="61">
                  <c:v>44631</c:v>
                </c:pt>
                <c:pt idx="62">
                  <c:v>44638</c:v>
                </c:pt>
                <c:pt idx="63">
                  <c:v>44645</c:v>
                </c:pt>
                <c:pt idx="64">
                  <c:v>44652</c:v>
                </c:pt>
              </c:numCache>
            </c:numRef>
          </c:cat>
          <c:val>
            <c:numRef>
              <c:f>'FORECAST SHEET'!$D$4:$D$68</c:f>
              <c:numCache>
                <c:formatCode>General</c:formatCode>
                <c:ptCount val="65"/>
                <c:pt idx="51" formatCode="#,##0">
                  <c:v>5665.5333333333338</c:v>
                </c:pt>
                <c:pt idx="52" formatCode="#,##0">
                  <c:v>4888.3597496634857</c:v>
                </c:pt>
                <c:pt idx="53" formatCode="#,##0">
                  <c:v>4888.629176318851</c:v>
                </c:pt>
                <c:pt idx="54" formatCode="#,##0">
                  <c:v>4888.848543911251</c:v>
                </c:pt>
                <c:pt idx="55" formatCode="#,##0">
                  <c:v>4889.0179573216519</c:v>
                </c:pt>
                <c:pt idx="56" formatCode="#,##0">
                  <c:v>4889.1375302600381</c:v>
                </c:pt>
                <c:pt idx="57" formatCode="#,##0">
                  <c:v>4889.2073849574499</c:v>
                </c:pt>
                <c:pt idx="58" formatCode="#,##0">
                  <c:v>4889.2276518584413</c:v>
                </c:pt>
                <c:pt idx="59" formatCode="#,##0">
                  <c:v>4889.1984693144486</c:v>
                </c:pt>
                <c:pt idx="60" formatCode="#,##0">
                  <c:v>4889.1199832785533</c:v>
                </c:pt>
                <c:pt idx="61" formatCode="#,##0">
                  <c:v>4888.9923470020995</c:v>
                </c:pt>
                <c:pt idx="62" formatCode="#,##0">
                  <c:v>4888.8157207335835</c:v>
                </c:pt>
                <c:pt idx="63" formatCode="#,##0">
                  <c:v>4888.590271420243</c:v>
                </c:pt>
                <c:pt idx="64" formatCode="#,##0">
                  <c:v>4888.3161724127131</c:v>
                </c:pt>
              </c:numCache>
            </c:numRef>
          </c:val>
          <c:smooth val="0"/>
          <c:extLst>
            <c:ext xmlns:c16="http://schemas.microsoft.com/office/drawing/2014/chart" uri="{C3380CC4-5D6E-409C-BE32-E72D297353CC}">
              <c16:uniqueId val="{00000002-3B82-470B-908D-99E6842EBC82}"/>
            </c:ext>
          </c:extLst>
        </c:ser>
        <c:ser>
          <c:idx val="3"/>
          <c:order val="3"/>
          <c:tx>
            <c:strRef>
              <c:f>'FORECAST SHEET'!$E$3</c:f>
              <c:strCache>
                <c:ptCount val="1"/>
                <c:pt idx="0">
                  <c:v>Upper Confidence Bound(Amount)</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f>'FORECAST SHEET'!$A$4:$A$68</c:f>
              <c:numCache>
                <c:formatCode>m/d/yyyy</c:formatCode>
                <c:ptCount val="65"/>
                <c:pt idx="0">
                  <c:v>44204</c:v>
                </c:pt>
                <c:pt idx="1">
                  <c:v>44211</c:v>
                </c:pt>
                <c:pt idx="2">
                  <c:v>44218</c:v>
                </c:pt>
                <c:pt idx="3">
                  <c:v>44225</c:v>
                </c:pt>
                <c:pt idx="4">
                  <c:v>44232</c:v>
                </c:pt>
                <c:pt idx="5">
                  <c:v>44239</c:v>
                </c:pt>
                <c:pt idx="6">
                  <c:v>44246</c:v>
                </c:pt>
                <c:pt idx="7">
                  <c:v>44253</c:v>
                </c:pt>
                <c:pt idx="8">
                  <c:v>44260</c:v>
                </c:pt>
                <c:pt idx="9">
                  <c:v>44267</c:v>
                </c:pt>
                <c:pt idx="10">
                  <c:v>44274</c:v>
                </c:pt>
                <c:pt idx="11">
                  <c:v>44281</c:v>
                </c:pt>
                <c:pt idx="12">
                  <c:v>44288</c:v>
                </c:pt>
                <c:pt idx="13">
                  <c:v>44295</c:v>
                </c:pt>
                <c:pt idx="14">
                  <c:v>44302</c:v>
                </c:pt>
                <c:pt idx="15">
                  <c:v>44309</c:v>
                </c:pt>
                <c:pt idx="16">
                  <c:v>44316</c:v>
                </c:pt>
                <c:pt idx="17">
                  <c:v>44323</c:v>
                </c:pt>
                <c:pt idx="18">
                  <c:v>44330</c:v>
                </c:pt>
                <c:pt idx="19">
                  <c:v>44337</c:v>
                </c:pt>
                <c:pt idx="20">
                  <c:v>44344</c:v>
                </c:pt>
                <c:pt idx="21">
                  <c:v>44351</c:v>
                </c:pt>
                <c:pt idx="22">
                  <c:v>44358</c:v>
                </c:pt>
                <c:pt idx="23">
                  <c:v>44365</c:v>
                </c:pt>
                <c:pt idx="24">
                  <c:v>44372</c:v>
                </c:pt>
                <c:pt idx="25">
                  <c:v>44379</c:v>
                </c:pt>
                <c:pt idx="26">
                  <c:v>44386</c:v>
                </c:pt>
                <c:pt idx="27">
                  <c:v>44393</c:v>
                </c:pt>
                <c:pt idx="28">
                  <c:v>44400</c:v>
                </c:pt>
                <c:pt idx="29">
                  <c:v>44407</c:v>
                </c:pt>
                <c:pt idx="30">
                  <c:v>44414</c:v>
                </c:pt>
                <c:pt idx="31">
                  <c:v>44421</c:v>
                </c:pt>
                <c:pt idx="32">
                  <c:v>44428</c:v>
                </c:pt>
                <c:pt idx="33">
                  <c:v>44435</c:v>
                </c:pt>
                <c:pt idx="34">
                  <c:v>44442</c:v>
                </c:pt>
                <c:pt idx="35">
                  <c:v>44449</c:v>
                </c:pt>
                <c:pt idx="36">
                  <c:v>44456</c:v>
                </c:pt>
                <c:pt idx="37">
                  <c:v>44463</c:v>
                </c:pt>
                <c:pt idx="38">
                  <c:v>44470</c:v>
                </c:pt>
                <c:pt idx="39">
                  <c:v>44477</c:v>
                </c:pt>
                <c:pt idx="40">
                  <c:v>44484</c:v>
                </c:pt>
                <c:pt idx="41">
                  <c:v>44491</c:v>
                </c:pt>
                <c:pt idx="42">
                  <c:v>44498</c:v>
                </c:pt>
                <c:pt idx="43">
                  <c:v>44505</c:v>
                </c:pt>
                <c:pt idx="44">
                  <c:v>44512</c:v>
                </c:pt>
                <c:pt idx="45">
                  <c:v>44519</c:v>
                </c:pt>
                <c:pt idx="46">
                  <c:v>44526</c:v>
                </c:pt>
                <c:pt idx="47">
                  <c:v>44533</c:v>
                </c:pt>
                <c:pt idx="48">
                  <c:v>44540</c:v>
                </c:pt>
                <c:pt idx="49">
                  <c:v>44547</c:v>
                </c:pt>
                <c:pt idx="50">
                  <c:v>44554</c:v>
                </c:pt>
                <c:pt idx="51">
                  <c:v>44561</c:v>
                </c:pt>
                <c:pt idx="52">
                  <c:v>44568</c:v>
                </c:pt>
                <c:pt idx="53">
                  <c:v>44575</c:v>
                </c:pt>
                <c:pt idx="54">
                  <c:v>44582</c:v>
                </c:pt>
                <c:pt idx="55">
                  <c:v>44589</c:v>
                </c:pt>
                <c:pt idx="56">
                  <c:v>44596</c:v>
                </c:pt>
                <c:pt idx="57">
                  <c:v>44603</c:v>
                </c:pt>
                <c:pt idx="58">
                  <c:v>44610</c:v>
                </c:pt>
                <c:pt idx="59">
                  <c:v>44617</c:v>
                </c:pt>
                <c:pt idx="60">
                  <c:v>44624</c:v>
                </c:pt>
                <c:pt idx="61">
                  <c:v>44631</c:v>
                </c:pt>
                <c:pt idx="62">
                  <c:v>44638</c:v>
                </c:pt>
                <c:pt idx="63">
                  <c:v>44645</c:v>
                </c:pt>
                <c:pt idx="64">
                  <c:v>44652</c:v>
                </c:pt>
              </c:numCache>
            </c:numRef>
          </c:cat>
          <c:val>
            <c:numRef>
              <c:f>'FORECAST SHEET'!$E$4:$E$68</c:f>
              <c:numCache>
                <c:formatCode>General</c:formatCode>
                <c:ptCount val="65"/>
                <c:pt idx="51" formatCode="#,##0">
                  <c:v>5665.5333333333338</c:v>
                </c:pt>
                <c:pt idx="52" formatCode="#,##0">
                  <c:v>6225.9018534806937</c:v>
                </c:pt>
                <c:pt idx="53" formatCode="#,##0">
                  <c:v>6232.976103668103</c:v>
                </c:pt>
                <c:pt idx="54" formatCode="#,##0">
                  <c:v>6240.1004129184776</c:v>
                </c:pt>
                <c:pt idx="55" formatCode="#,##0">
                  <c:v>6247.2746763508512</c:v>
                </c:pt>
                <c:pt idx="56" formatCode="#,##0">
                  <c:v>6254.4987802552414</c:v>
                </c:pt>
                <c:pt idx="57" formatCode="#,##0">
                  <c:v>6261.7726024006042</c:v>
                </c:pt>
                <c:pt idx="58" formatCode="#,##0">
                  <c:v>6269.0960123423874</c:v>
                </c:pt>
                <c:pt idx="59" formatCode="#,##0">
                  <c:v>6276.4688717291547</c:v>
                </c:pt>
                <c:pt idx="60" formatCode="#,##0">
                  <c:v>6283.8910346078246</c:v>
                </c:pt>
                <c:pt idx="61" formatCode="#,##0">
                  <c:v>6291.362347727053</c:v>
                </c:pt>
                <c:pt idx="62" formatCode="#,##0">
                  <c:v>6298.8826508383436</c:v>
                </c:pt>
                <c:pt idx="63" formatCode="#,##0">
                  <c:v>6306.4517769944587</c:v>
                </c:pt>
                <c:pt idx="64" formatCode="#,##0">
                  <c:v>6314.069552844765</c:v>
                </c:pt>
              </c:numCache>
            </c:numRef>
          </c:val>
          <c:smooth val="0"/>
          <c:extLst>
            <c:ext xmlns:c16="http://schemas.microsoft.com/office/drawing/2014/chart" uri="{C3380CC4-5D6E-409C-BE32-E72D297353CC}">
              <c16:uniqueId val="{00000003-3B82-470B-908D-99E6842EBC82}"/>
            </c:ext>
          </c:extLst>
        </c:ser>
        <c:dLbls>
          <c:showLegendKey val="0"/>
          <c:showVal val="0"/>
          <c:showCatName val="0"/>
          <c:showSerName val="0"/>
          <c:showPercent val="0"/>
          <c:showBubbleSize val="0"/>
        </c:dLbls>
        <c:smooth val="0"/>
        <c:axId val="1715230336"/>
        <c:axId val="1715234176"/>
      </c:lineChart>
      <c:catAx>
        <c:axId val="1715230336"/>
        <c:scaling>
          <c:orientation val="minMax"/>
        </c:scaling>
        <c:delete val="0"/>
        <c:axPos val="b"/>
        <c:majorTickMark val="none"/>
        <c:minorTickMark val="none"/>
        <c:tickLblPos val="low"/>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15234176"/>
        <c:crosses val="autoZero"/>
        <c:auto val="1"/>
        <c:lblAlgn val="ctr"/>
        <c:lblOffset val="100"/>
        <c:noMultiLvlLbl val="0"/>
      </c:catAx>
      <c:valAx>
        <c:axId val="171523417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15230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95">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lumMod val="20000"/>
          <a:lumOff val="80000"/>
        </a:schemeClr>
      </a:solidFill>
    </cs:spPr>
  </cs:dataPoint>
  <cs:dataPoint3D>
    <cs:lnRef idx="0"/>
    <cs:fillRef idx="0">
      <cs:styleClr val="auto"/>
    </cs:fillRef>
    <cs:effectRef idx="0"/>
    <cs:fontRef idx="minor">
      <a:schemeClr val="dk1"/>
    </cs:fontRef>
    <cs:spPr>
      <a:solidFill>
        <a:schemeClr val="phClr">
          <a:lumMod val="20000"/>
          <a:lumOff val="80000"/>
        </a:schemeClr>
      </a:solidFill>
      <a:sp3d/>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dk1"/>
    </cs:fontRef>
    <cs:spPr>
      <a:solidFill>
        <a:schemeClr val="phClr">
          <a:alpha val="30000"/>
        </a:schemeClr>
      </a:solidFill>
      <a:sp3d/>
    </cs:spPr>
  </cs:floor>
  <cs:gridlineMajor>
    <cs:lnRef idx="0">
      <cs:styleClr val="0"/>
    </cs:lnRef>
    <cs:fillRef idx="0"/>
    <cs:effectRef idx="0"/>
    <cs:fontRef idx="minor">
      <a:schemeClr val="dk1"/>
    </cs:fontRef>
    <cs:spPr>
      <a:ln w="9525" cap="flat" cmpd="sng" algn="ctr">
        <a:solidFill>
          <a:schemeClr val="lt1">
            <a:lumMod val="60000"/>
            <a:lumOff val="40000"/>
          </a:schemeClr>
        </a:solidFill>
        <a:round/>
      </a:ln>
    </cs:spPr>
  </cs:gridlineMajor>
  <cs:gridlineMinor>
    <cs:lnRef idx="0">
      <cs:styleClr val="0"/>
    </cs:lnRef>
    <cs:fillRef idx="0"/>
    <cs:effectRef idx="0"/>
    <cs:fontRef idx="minor">
      <a:schemeClr val="dk1"/>
    </cs:fontRef>
    <cs:spPr>
      <a:ln>
        <a:solidFill>
          <a:schemeClr val="lt1">
            <a:lumMod val="50000"/>
            <a:lumOff val="5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95">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lumMod val="20000"/>
          <a:lumOff val="80000"/>
        </a:schemeClr>
      </a:solidFill>
    </cs:spPr>
  </cs:dataPoint>
  <cs:dataPoint3D>
    <cs:lnRef idx="0"/>
    <cs:fillRef idx="0">
      <cs:styleClr val="auto"/>
    </cs:fillRef>
    <cs:effectRef idx="0"/>
    <cs:fontRef idx="minor">
      <a:schemeClr val="dk1"/>
    </cs:fontRef>
    <cs:spPr>
      <a:solidFill>
        <a:schemeClr val="phClr">
          <a:lumMod val="20000"/>
          <a:lumOff val="80000"/>
        </a:schemeClr>
      </a:solidFill>
      <a:sp3d/>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dk1"/>
    </cs:fontRef>
    <cs:spPr>
      <a:solidFill>
        <a:schemeClr val="phClr">
          <a:alpha val="30000"/>
        </a:schemeClr>
      </a:solidFill>
      <a:sp3d/>
    </cs:spPr>
  </cs:floor>
  <cs:gridlineMajor>
    <cs:lnRef idx="0">
      <cs:styleClr val="0"/>
    </cs:lnRef>
    <cs:fillRef idx="0"/>
    <cs:effectRef idx="0"/>
    <cs:fontRef idx="minor">
      <a:schemeClr val="dk1"/>
    </cs:fontRef>
    <cs:spPr>
      <a:ln w="9525" cap="flat" cmpd="sng" algn="ctr">
        <a:solidFill>
          <a:schemeClr val="lt1">
            <a:lumMod val="60000"/>
            <a:lumOff val="40000"/>
          </a:schemeClr>
        </a:solidFill>
        <a:round/>
      </a:ln>
    </cs:spPr>
  </cs:gridlineMajor>
  <cs:gridlineMinor>
    <cs:lnRef idx="0">
      <cs:styleClr val="0"/>
    </cs:lnRef>
    <cs:fillRef idx="0"/>
    <cs:effectRef idx="0"/>
    <cs:fontRef idx="minor">
      <a:schemeClr val="dk1"/>
    </cs:fontRef>
    <cs:spPr>
      <a:ln>
        <a:solidFill>
          <a:schemeClr val="lt1">
            <a:lumMod val="50000"/>
            <a:lumOff val="5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26">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hyperlink" Target="#Data!A1"/><Relationship Id="rId3" Type="http://schemas.openxmlformats.org/officeDocument/2006/relationships/chart" Target="../charts/chart8.xml"/><Relationship Id="rId7"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hyperlink" Target="https://www.croma.com/" TargetMode="External"/><Relationship Id="rId5" Type="http://schemas.openxmlformats.org/officeDocument/2006/relationships/chart" Target="../charts/chart10.xml"/><Relationship Id="rId10" Type="http://schemas.openxmlformats.org/officeDocument/2006/relationships/hyperlink" Target="#'FORECAST SHEET'!A1"/><Relationship Id="rId4" Type="http://schemas.openxmlformats.org/officeDocument/2006/relationships/chart" Target="../charts/chart9.xml"/><Relationship Id="rId9" Type="http://schemas.openxmlformats.org/officeDocument/2006/relationships/hyperlink" Target="#INSIGHTS!A1"/></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editAs="oneCell">
    <xdr:from>
      <xdr:col>7</xdr:col>
      <xdr:colOff>426720</xdr:colOff>
      <xdr:row>0</xdr:row>
      <xdr:rowOff>0</xdr:rowOff>
    </xdr:from>
    <xdr:to>
      <xdr:col>9</xdr:col>
      <xdr:colOff>365760</xdr:colOff>
      <xdr:row>2</xdr:row>
      <xdr:rowOff>23203</xdr:rowOff>
    </xdr:to>
    <xdr:pic>
      <xdr:nvPicPr>
        <xdr:cNvPr id="3" name="Picture 2">
          <a:extLst>
            <a:ext uri="{FF2B5EF4-FFF2-40B4-BE49-F238E27FC236}">
              <a16:creationId xmlns:a16="http://schemas.microsoft.com/office/drawing/2014/main" id="{74F23071-AE14-018C-8037-608817D7B8F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72300" y="0"/>
          <a:ext cx="1485900" cy="6404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99060</xdr:colOff>
      <xdr:row>0</xdr:row>
      <xdr:rowOff>76200</xdr:rowOff>
    </xdr:from>
    <xdr:to>
      <xdr:col>11</xdr:col>
      <xdr:colOff>396240</xdr:colOff>
      <xdr:row>11</xdr:row>
      <xdr:rowOff>137160</xdr:rowOff>
    </xdr:to>
    <xdr:graphicFrame macro="">
      <xdr:nvGraphicFramePr>
        <xdr:cNvPr id="2" name="Chart 1">
          <a:extLst>
            <a:ext uri="{FF2B5EF4-FFF2-40B4-BE49-F238E27FC236}">
              <a16:creationId xmlns:a16="http://schemas.microsoft.com/office/drawing/2014/main" id="{1B989A23-4429-D2BC-7A0C-99CF5B51A6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60960</xdr:colOff>
      <xdr:row>12</xdr:row>
      <xdr:rowOff>114300</xdr:rowOff>
    </xdr:from>
    <xdr:to>
      <xdr:col>12</xdr:col>
      <xdr:colOff>190500</xdr:colOff>
      <xdr:row>23</xdr:row>
      <xdr:rowOff>29029</xdr:rowOff>
    </xdr:to>
    <xdr:graphicFrame macro="">
      <xdr:nvGraphicFramePr>
        <xdr:cNvPr id="3" name="Chart 2">
          <a:extLst>
            <a:ext uri="{FF2B5EF4-FFF2-40B4-BE49-F238E27FC236}">
              <a16:creationId xmlns:a16="http://schemas.microsoft.com/office/drawing/2014/main" id="{314C2D16-2F3F-DD35-5C14-C81F6EFD5B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60960</xdr:colOff>
      <xdr:row>24</xdr:row>
      <xdr:rowOff>175260</xdr:rowOff>
    </xdr:from>
    <xdr:to>
      <xdr:col>12</xdr:col>
      <xdr:colOff>434340</xdr:colOff>
      <xdr:row>38</xdr:row>
      <xdr:rowOff>167640</xdr:rowOff>
    </xdr:to>
    <xdr:graphicFrame macro="">
      <xdr:nvGraphicFramePr>
        <xdr:cNvPr id="4" name="Chart 3">
          <a:extLst>
            <a:ext uri="{FF2B5EF4-FFF2-40B4-BE49-F238E27FC236}">
              <a16:creationId xmlns:a16="http://schemas.microsoft.com/office/drawing/2014/main" id="{574D493A-A383-6E22-0D96-7AD023113E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91440</xdr:colOff>
      <xdr:row>42</xdr:row>
      <xdr:rowOff>129540</xdr:rowOff>
    </xdr:from>
    <xdr:to>
      <xdr:col>12</xdr:col>
      <xdr:colOff>106680</xdr:colOff>
      <xdr:row>54</xdr:row>
      <xdr:rowOff>144780</xdr:rowOff>
    </xdr:to>
    <xdr:graphicFrame macro="">
      <xdr:nvGraphicFramePr>
        <xdr:cNvPr id="5" name="Chart 4">
          <a:extLst>
            <a:ext uri="{FF2B5EF4-FFF2-40B4-BE49-F238E27FC236}">
              <a16:creationId xmlns:a16="http://schemas.microsoft.com/office/drawing/2014/main" id="{EC1108CA-F0BA-DE80-FEC1-097037BD3E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76200</xdr:colOff>
      <xdr:row>59</xdr:row>
      <xdr:rowOff>68580</xdr:rowOff>
    </xdr:from>
    <xdr:to>
      <xdr:col>12</xdr:col>
      <xdr:colOff>381000</xdr:colOff>
      <xdr:row>74</xdr:row>
      <xdr:rowOff>68580</xdr:rowOff>
    </xdr:to>
    <xdr:graphicFrame macro="">
      <xdr:nvGraphicFramePr>
        <xdr:cNvPr id="6" name="Chart 5">
          <a:extLst>
            <a:ext uri="{FF2B5EF4-FFF2-40B4-BE49-F238E27FC236}">
              <a16:creationId xmlns:a16="http://schemas.microsoft.com/office/drawing/2014/main" id="{E2BFF157-E1EB-13F6-C5CA-1290A72FC2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510540</xdr:colOff>
      <xdr:row>4</xdr:row>
      <xdr:rowOff>106680</xdr:rowOff>
    </xdr:from>
    <xdr:to>
      <xdr:col>4</xdr:col>
      <xdr:colOff>167640</xdr:colOff>
      <xdr:row>6</xdr:row>
      <xdr:rowOff>68580</xdr:rowOff>
    </xdr:to>
    <xdr:sp macro="" textlink="">
      <xdr:nvSpPr>
        <xdr:cNvPr id="7" name="Arrow: Right 6">
          <a:extLst>
            <a:ext uri="{FF2B5EF4-FFF2-40B4-BE49-F238E27FC236}">
              <a16:creationId xmlns:a16="http://schemas.microsoft.com/office/drawing/2014/main" id="{2BB21AB4-E84B-5B40-E23B-A694EF72B875}"/>
            </a:ext>
          </a:extLst>
        </xdr:cNvPr>
        <xdr:cNvSpPr/>
      </xdr:nvSpPr>
      <xdr:spPr>
        <a:xfrm>
          <a:off x="2362200" y="838200"/>
          <a:ext cx="876300" cy="327660"/>
        </a:xfrm>
        <a:prstGeom prst="righ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586740</xdr:colOff>
      <xdr:row>15</xdr:row>
      <xdr:rowOff>76200</xdr:rowOff>
    </xdr:from>
    <xdr:to>
      <xdr:col>4</xdr:col>
      <xdr:colOff>243840</xdr:colOff>
      <xdr:row>17</xdr:row>
      <xdr:rowOff>38100</xdr:rowOff>
    </xdr:to>
    <xdr:sp macro="" textlink="">
      <xdr:nvSpPr>
        <xdr:cNvPr id="8" name="Arrow: Right 7">
          <a:extLst>
            <a:ext uri="{FF2B5EF4-FFF2-40B4-BE49-F238E27FC236}">
              <a16:creationId xmlns:a16="http://schemas.microsoft.com/office/drawing/2014/main" id="{8D4764F9-DDE2-42FA-AC4E-CE2BD1D955AC}"/>
            </a:ext>
          </a:extLst>
        </xdr:cNvPr>
        <xdr:cNvSpPr/>
      </xdr:nvSpPr>
      <xdr:spPr>
        <a:xfrm>
          <a:off x="2438400" y="2819400"/>
          <a:ext cx="876300" cy="327660"/>
        </a:xfrm>
        <a:prstGeom prst="righ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0</xdr:colOff>
      <xdr:row>30</xdr:row>
      <xdr:rowOff>0</xdr:rowOff>
    </xdr:from>
    <xdr:to>
      <xdr:col>4</xdr:col>
      <xdr:colOff>266700</xdr:colOff>
      <xdr:row>31</xdr:row>
      <xdr:rowOff>144780</xdr:rowOff>
    </xdr:to>
    <xdr:sp macro="" textlink="">
      <xdr:nvSpPr>
        <xdr:cNvPr id="9" name="Arrow: Right 8">
          <a:extLst>
            <a:ext uri="{FF2B5EF4-FFF2-40B4-BE49-F238E27FC236}">
              <a16:creationId xmlns:a16="http://schemas.microsoft.com/office/drawing/2014/main" id="{F60CED70-8596-4DD6-8807-DD05A626E17E}"/>
            </a:ext>
          </a:extLst>
        </xdr:cNvPr>
        <xdr:cNvSpPr/>
      </xdr:nvSpPr>
      <xdr:spPr>
        <a:xfrm>
          <a:off x="2461260" y="5486400"/>
          <a:ext cx="876300" cy="327660"/>
        </a:xfrm>
        <a:prstGeom prst="righ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0</xdr:colOff>
      <xdr:row>48</xdr:row>
      <xdr:rowOff>0</xdr:rowOff>
    </xdr:from>
    <xdr:to>
      <xdr:col>4</xdr:col>
      <xdr:colOff>266700</xdr:colOff>
      <xdr:row>49</xdr:row>
      <xdr:rowOff>144780</xdr:rowOff>
    </xdr:to>
    <xdr:sp macro="" textlink="">
      <xdr:nvSpPr>
        <xdr:cNvPr id="10" name="Arrow: Right 9">
          <a:extLst>
            <a:ext uri="{FF2B5EF4-FFF2-40B4-BE49-F238E27FC236}">
              <a16:creationId xmlns:a16="http://schemas.microsoft.com/office/drawing/2014/main" id="{6F1E4E2D-B027-4E34-B0F4-E51429530253}"/>
            </a:ext>
          </a:extLst>
        </xdr:cNvPr>
        <xdr:cNvSpPr/>
      </xdr:nvSpPr>
      <xdr:spPr>
        <a:xfrm>
          <a:off x="2461260" y="8778240"/>
          <a:ext cx="876300" cy="327660"/>
        </a:xfrm>
        <a:prstGeom prst="righ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0</xdr:colOff>
      <xdr:row>66</xdr:row>
      <xdr:rowOff>0</xdr:rowOff>
    </xdr:from>
    <xdr:to>
      <xdr:col>4</xdr:col>
      <xdr:colOff>266700</xdr:colOff>
      <xdr:row>67</xdr:row>
      <xdr:rowOff>144780</xdr:rowOff>
    </xdr:to>
    <xdr:sp macro="" textlink="">
      <xdr:nvSpPr>
        <xdr:cNvPr id="11" name="Arrow: Right 10">
          <a:extLst>
            <a:ext uri="{FF2B5EF4-FFF2-40B4-BE49-F238E27FC236}">
              <a16:creationId xmlns:a16="http://schemas.microsoft.com/office/drawing/2014/main" id="{E2023ECF-5EB8-440C-8510-6D8C5B838523}"/>
            </a:ext>
          </a:extLst>
        </xdr:cNvPr>
        <xdr:cNvSpPr/>
      </xdr:nvSpPr>
      <xdr:spPr>
        <a:xfrm>
          <a:off x="2461260" y="12070080"/>
          <a:ext cx="876300" cy="327660"/>
        </a:xfrm>
        <a:prstGeom prst="righ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160413</xdr:colOff>
      <xdr:row>6</xdr:row>
      <xdr:rowOff>66038</xdr:rowOff>
    </xdr:from>
    <xdr:to>
      <xdr:col>15</xdr:col>
      <xdr:colOff>159640</xdr:colOff>
      <xdr:row>20</xdr:row>
      <xdr:rowOff>117572</xdr:rowOff>
    </xdr:to>
    <xdr:graphicFrame macro="">
      <xdr:nvGraphicFramePr>
        <xdr:cNvPr id="2" name="Chart 1">
          <a:extLst>
            <a:ext uri="{FF2B5EF4-FFF2-40B4-BE49-F238E27FC236}">
              <a16:creationId xmlns:a16="http://schemas.microsoft.com/office/drawing/2014/main" id="{9B2E4AE2-2BFE-4792-81D9-E84A9E509A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144458</xdr:colOff>
      <xdr:row>20</xdr:row>
      <xdr:rowOff>178081</xdr:rowOff>
    </xdr:from>
    <xdr:to>
      <xdr:col>15</xdr:col>
      <xdr:colOff>145411</xdr:colOff>
      <xdr:row>35</xdr:row>
      <xdr:rowOff>41725</xdr:rowOff>
    </xdr:to>
    <xdr:graphicFrame macro="">
      <xdr:nvGraphicFramePr>
        <xdr:cNvPr id="3" name="Chart 2">
          <a:extLst>
            <a:ext uri="{FF2B5EF4-FFF2-40B4-BE49-F238E27FC236}">
              <a16:creationId xmlns:a16="http://schemas.microsoft.com/office/drawing/2014/main" id="{4FF4E2CA-2326-4B83-A611-8D30A2D0A8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238701</xdr:colOff>
      <xdr:row>6</xdr:row>
      <xdr:rowOff>48661</xdr:rowOff>
    </xdr:from>
    <xdr:to>
      <xdr:col>23</xdr:col>
      <xdr:colOff>229170</xdr:colOff>
      <xdr:row>35</xdr:row>
      <xdr:rowOff>62631</xdr:rowOff>
    </xdr:to>
    <xdr:graphicFrame macro="">
      <xdr:nvGraphicFramePr>
        <xdr:cNvPr id="4" name="Chart 3">
          <a:extLst>
            <a:ext uri="{FF2B5EF4-FFF2-40B4-BE49-F238E27FC236}">
              <a16:creationId xmlns:a16="http://schemas.microsoft.com/office/drawing/2014/main" id="{2E5C907F-9BB0-42A8-B983-5154392154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55813</xdr:colOff>
      <xdr:row>20</xdr:row>
      <xdr:rowOff>168404</xdr:rowOff>
    </xdr:from>
    <xdr:to>
      <xdr:col>5</xdr:col>
      <xdr:colOff>77890</xdr:colOff>
      <xdr:row>35</xdr:row>
      <xdr:rowOff>32048</xdr:rowOff>
    </xdr:to>
    <xdr:graphicFrame macro="">
      <xdr:nvGraphicFramePr>
        <xdr:cNvPr id="6" name="Chart 5">
          <a:extLst>
            <a:ext uri="{FF2B5EF4-FFF2-40B4-BE49-F238E27FC236}">
              <a16:creationId xmlns:a16="http://schemas.microsoft.com/office/drawing/2014/main" id="{4680D984-DB71-4274-9701-0C302A5FBA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49534</xdr:colOff>
      <xdr:row>6</xdr:row>
      <xdr:rowOff>62952</xdr:rowOff>
    </xdr:from>
    <xdr:to>
      <xdr:col>5</xdr:col>
      <xdr:colOff>73068</xdr:colOff>
      <xdr:row>20</xdr:row>
      <xdr:rowOff>114822</xdr:rowOff>
    </xdr:to>
    <mc:AlternateContent xmlns:mc="http://schemas.openxmlformats.org/markup-compatibility/2006" xmlns:a14="http://schemas.microsoft.com/office/drawing/2010/main">
      <mc:Choice Requires="a14">
        <xdr:graphicFrame macro="">
          <xdr:nvGraphicFramePr>
            <xdr:cNvPr id="7" name="Months (Date)">
              <a:extLst>
                <a:ext uri="{FF2B5EF4-FFF2-40B4-BE49-F238E27FC236}">
                  <a16:creationId xmlns:a16="http://schemas.microsoft.com/office/drawing/2014/main" id="{3889F3AD-A067-B09A-CFC8-8BB1BF017FEA}"/>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49534" y="1142452"/>
              <a:ext cx="3092701" cy="25707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329732</xdr:colOff>
      <xdr:row>6</xdr:row>
      <xdr:rowOff>44055</xdr:rowOff>
    </xdr:from>
    <xdr:to>
      <xdr:col>31</xdr:col>
      <xdr:colOff>14421</xdr:colOff>
      <xdr:row>35</xdr:row>
      <xdr:rowOff>62631</xdr:rowOff>
    </xdr:to>
    <xdr:graphicFrame macro="">
      <xdr:nvGraphicFramePr>
        <xdr:cNvPr id="8" name="Chart 7">
          <a:extLst>
            <a:ext uri="{FF2B5EF4-FFF2-40B4-BE49-F238E27FC236}">
              <a16:creationId xmlns:a16="http://schemas.microsoft.com/office/drawing/2014/main" id="{2A0DFC49-B294-4663-9A46-2FFEF29CED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0</xdr:row>
      <xdr:rowOff>13137</xdr:rowOff>
    </xdr:from>
    <xdr:to>
      <xdr:col>31</xdr:col>
      <xdr:colOff>0</xdr:colOff>
      <xdr:row>5</xdr:row>
      <xdr:rowOff>91965</xdr:rowOff>
    </xdr:to>
    <xdr:sp macro="" textlink="">
      <xdr:nvSpPr>
        <xdr:cNvPr id="9" name="Rectangle 8">
          <a:extLst>
            <a:ext uri="{FF2B5EF4-FFF2-40B4-BE49-F238E27FC236}">
              <a16:creationId xmlns:a16="http://schemas.microsoft.com/office/drawing/2014/main" id="{2F9945B1-9BF6-B675-2D76-630CD32441B1}"/>
            </a:ext>
          </a:extLst>
        </xdr:cNvPr>
        <xdr:cNvSpPr/>
      </xdr:nvSpPr>
      <xdr:spPr>
        <a:xfrm>
          <a:off x="0" y="13137"/>
          <a:ext cx="18734690" cy="9984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0</xdr:colOff>
      <xdr:row>0</xdr:row>
      <xdr:rowOff>19797</xdr:rowOff>
    </xdr:from>
    <xdr:to>
      <xdr:col>3</xdr:col>
      <xdr:colOff>578348</xdr:colOff>
      <xdr:row>5</xdr:row>
      <xdr:rowOff>105104</xdr:rowOff>
    </xdr:to>
    <xdr:pic>
      <xdr:nvPicPr>
        <xdr:cNvPr id="14" name="Picture 13">
          <a:hlinkClick xmlns:r="http://schemas.openxmlformats.org/officeDocument/2006/relationships" r:id="rId6"/>
          <a:extLst>
            <a:ext uri="{FF2B5EF4-FFF2-40B4-BE49-F238E27FC236}">
              <a16:creationId xmlns:a16="http://schemas.microsoft.com/office/drawing/2014/main" id="{60636446-CD2C-9DD5-C8E2-39EAF088290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0" y="19797"/>
          <a:ext cx="2391382" cy="1004962"/>
        </a:xfrm>
        <a:prstGeom prst="rect">
          <a:avLst/>
        </a:prstGeom>
      </xdr:spPr>
    </xdr:pic>
    <xdr:clientData/>
  </xdr:twoCellAnchor>
  <xdr:twoCellAnchor>
    <xdr:from>
      <xdr:col>5</xdr:col>
      <xdr:colOff>131379</xdr:colOff>
      <xdr:row>0</xdr:row>
      <xdr:rowOff>144518</xdr:rowOff>
    </xdr:from>
    <xdr:to>
      <xdr:col>23</xdr:col>
      <xdr:colOff>223345</xdr:colOff>
      <xdr:row>5</xdr:row>
      <xdr:rowOff>0</xdr:rowOff>
    </xdr:to>
    <xdr:sp macro="" textlink="">
      <xdr:nvSpPr>
        <xdr:cNvPr id="15" name="TextBox 14">
          <a:extLst>
            <a:ext uri="{FF2B5EF4-FFF2-40B4-BE49-F238E27FC236}">
              <a16:creationId xmlns:a16="http://schemas.microsoft.com/office/drawing/2014/main" id="{1C4756E8-E141-61E9-9485-F21A460D31C8}"/>
            </a:ext>
          </a:extLst>
        </xdr:cNvPr>
        <xdr:cNvSpPr txBox="1"/>
      </xdr:nvSpPr>
      <xdr:spPr>
        <a:xfrm>
          <a:off x="3153103" y="144518"/>
          <a:ext cx="10970173" cy="775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5400" i="1">
              <a:solidFill>
                <a:schemeClr val="bg2"/>
              </a:solidFill>
              <a:latin typeface="Aparajita" panose="02020603050405020304" pitchFamily="18" charset="0"/>
              <a:cs typeface="Aparajita" panose="02020603050405020304" pitchFamily="18" charset="0"/>
            </a:rPr>
            <a:t>SALES</a:t>
          </a:r>
          <a:r>
            <a:rPr lang="en-IN" sz="5400" i="1" baseline="0">
              <a:solidFill>
                <a:schemeClr val="bg2"/>
              </a:solidFill>
              <a:latin typeface="Aparajita" panose="02020603050405020304" pitchFamily="18" charset="0"/>
              <a:cs typeface="Aparajita" panose="02020603050405020304" pitchFamily="18" charset="0"/>
            </a:rPr>
            <a:t> REPORT 2021</a:t>
          </a:r>
          <a:endParaRPr lang="en-IN" sz="5400" i="1">
            <a:solidFill>
              <a:schemeClr val="bg2"/>
            </a:solidFill>
            <a:latin typeface="Aparajita" panose="02020603050405020304" pitchFamily="18" charset="0"/>
            <a:cs typeface="Aparajita" panose="02020603050405020304" pitchFamily="18" charset="0"/>
          </a:endParaRPr>
        </a:p>
      </xdr:txBody>
    </xdr:sp>
    <xdr:clientData/>
  </xdr:twoCellAnchor>
  <xdr:twoCellAnchor>
    <xdr:from>
      <xdr:col>27</xdr:col>
      <xdr:colOff>374754</xdr:colOff>
      <xdr:row>1</xdr:row>
      <xdr:rowOff>137409</xdr:rowOff>
    </xdr:from>
    <xdr:to>
      <xdr:col>31</xdr:col>
      <xdr:colOff>87442</xdr:colOff>
      <xdr:row>4</xdr:row>
      <xdr:rowOff>87443</xdr:rowOff>
    </xdr:to>
    <xdr:sp macro="" textlink="">
      <xdr:nvSpPr>
        <xdr:cNvPr id="17" name="TextBox 16">
          <a:extLst>
            <a:ext uri="{FF2B5EF4-FFF2-40B4-BE49-F238E27FC236}">
              <a16:creationId xmlns:a16="http://schemas.microsoft.com/office/drawing/2014/main" id="{A94E3A85-A584-E4C8-7DAB-B21B9592B18A}"/>
            </a:ext>
          </a:extLst>
        </xdr:cNvPr>
        <xdr:cNvSpPr txBox="1"/>
      </xdr:nvSpPr>
      <xdr:spPr>
        <a:xfrm>
          <a:off x="16901410" y="324786"/>
          <a:ext cx="2161081" cy="512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i="1">
              <a:solidFill>
                <a:schemeClr val="bg2"/>
              </a:solidFill>
            </a:rPr>
            <a:t>TOTAL SALES - 84,64,606</a:t>
          </a:r>
        </a:p>
      </xdr:txBody>
    </xdr:sp>
    <xdr:clientData/>
  </xdr:twoCellAnchor>
  <xdr:twoCellAnchor>
    <xdr:from>
      <xdr:col>21</xdr:col>
      <xdr:colOff>576943</xdr:colOff>
      <xdr:row>1</xdr:row>
      <xdr:rowOff>76200</xdr:rowOff>
    </xdr:from>
    <xdr:to>
      <xdr:col>26</xdr:col>
      <xdr:colOff>108857</xdr:colOff>
      <xdr:row>4</xdr:row>
      <xdr:rowOff>21771</xdr:rowOff>
    </xdr:to>
    <xdr:sp macro="" textlink="">
      <xdr:nvSpPr>
        <xdr:cNvPr id="5" name="Rectangle 4">
          <a:hlinkClick xmlns:r="http://schemas.openxmlformats.org/officeDocument/2006/relationships" r:id="rId8"/>
          <a:extLst>
            <a:ext uri="{FF2B5EF4-FFF2-40B4-BE49-F238E27FC236}">
              <a16:creationId xmlns:a16="http://schemas.microsoft.com/office/drawing/2014/main" id="{50C2BDE8-9C7D-9053-0D3C-982B7631DD09}"/>
            </a:ext>
          </a:extLst>
        </xdr:cNvPr>
        <xdr:cNvSpPr/>
      </xdr:nvSpPr>
      <xdr:spPr>
        <a:xfrm>
          <a:off x="13378543" y="261257"/>
          <a:ext cx="2579914" cy="50074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i="1">
              <a:latin typeface="Aparajita" panose="02020603050405020304" pitchFamily="18" charset="0"/>
              <a:cs typeface="Aparajita" panose="02020603050405020304" pitchFamily="18" charset="0"/>
            </a:rPr>
            <a:t>Raw Data</a:t>
          </a:r>
        </a:p>
      </xdr:txBody>
    </xdr:sp>
    <xdr:clientData/>
  </xdr:twoCellAnchor>
  <xdr:twoCellAnchor>
    <xdr:from>
      <xdr:col>0</xdr:col>
      <xdr:colOff>203200</xdr:colOff>
      <xdr:row>36</xdr:row>
      <xdr:rowOff>81280</xdr:rowOff>
    </xdr:from>
    <xdr:to>
      <xdr:col>3</xdr:col>
      <xdr:colOff>101600</xdr:colOff>
      <xdr:row>39</xdr:row>
      <xdr:rowOff>121920</xdr:rowOff>
    </xdr:to>
    <xdr:sp macro="[0]!insights" textlink="">
      <xdr:nvSpPr>
        <xdr:cNvPr id="10" name="TextBox 9">
          <a:hlinkClick xmlns:r="http://schemas.openxmlformats.org/officeDocument/2006/relationships" r:id="rId9"/>
          <a:extLst>
            <a:ext uri="{FF2B5EF4-FFF2-40B4-BE49-F238E27FC236}">
              <a16:creationId xmlns:a16="http://schemas.microsoft.com/office/drawing/2014/main" id="{CFA69458-1595-B0C9-34B5-8F18B748BFEF}"/>
            </a:ext>
          </a:extLst>
        </xdr:cNvPr>
        <xdr:cNvSpPr txBox="1"/>
      </xdr:nvSpPr>
      <xdr:spPr>
        <a:xfrm>
          <a:off x="203200" y="6664960"/>
          <a:ext cx="1727200" cy="589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i="1">
              <a:solidFill>
                <a:schemeClr val="bg1"/>
              </a:solidFill>
              <a:latin typeface="Aparajita" panose="02020603050405020304" pitchFamily="18" charset="0"/>
              <a:cs typeface="Aparajita" panose="02020603050405020304" pitchFamily="18" charset="0"/>
            </a:rPr>
            <a:t>INSIGHTS</a:t>
          </a:r>
        </a:p>
      </xdr:txBody>
    </xdr:sp>
    <xdr:clientData/>
  </xdr:twoCellAnchor>
  <xdr:twoCellAnchor>
    <xdr:from>
      <xdr:col>7</xdr:col>
      <xdr:colOff>399737</xdr:colOff>
      <xdr:row>36</xdr:row>
      <xdr:rowOff>137409</xdr:rowOff>
    </xdr:from>
    <xdr:to>
      <xdr:col>12</xdr:col>
      <xdr:colOff>562131</xdr:colOff>
      <xdr:row>39</xdr:row>
      <xdr:rowOff>178049</xdr:rowOff>
    </xdr:to>
    <xdr:sp macro="" textlink="">
      <xdr:nvSpPr>
        <xdr:cNvPr id="13" name="TextBox 12">
          <a:hlinkClick xmlns:r="http://schemas.openxmlformats.org/officeDocument/2006/relationships" r:id="rId10"/>
          <a:extLst>
            <a:ext uri="{FF2B5EF4-FFF2-40B4-BE49-F238E27FC236}">
              <a16:creationId xmlns:a16="http://schemas.microsoft.com/office/drawing/2014/main" id="{79976F80-9047-4754-95EB-968BCC222E6C}"/>
            </a:ext>
          </a:extLst>
        </xdr:cNvPr>
        <xdr:cNvSpPr txBox="1"/>
      </xdr:nvSpPr>
      <xdr:spPr>
        <a:xfrm>
          <a:off x="4684426" y="6882983"/>
          <a:ext cx="3222885" cy="602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i="1">
              <a:solidFill>
                <a:schemeClr val="bg1"/>
              </a:solidFill>
              <a:latin typeface="Aparajita" panose="02020603050405020304" pitchFamily="18" charset="0"/>
              <a:cs typeface="Aparajita" panose="02020603050405020304" pitchFamily="18" charset="0"/>
            </a:rPr>
            <a:t>FORECAST SHEET</a:t>
          </a:r>
        </a:p>
      </xdr:txBody>
    </xdr:sp>
    <xdr:clientData/>
  </xdr:twoCellAnchor>
  <xdr:twoCellAnchor>
    <xdr:from>
      <xdr:col>3</xdr:col>
      <xdr:colOff>341922</xdr:colOff>
      <xdr:row>36</xdr:row>
      <xdr:rowOff>156309</xdr:rowOff>
    </xdr:from>
    <xdr:to>
      <xdr:col>7</xdr:col>
      <xdr:colOff>244230</xdr:colOff>
      <xdr:row>39</xdr:row>
      <xdr:rowOff>97693</xdr:rowOff>
    </xdr:to>
    <xdr:sp macro="[0]!delete" textlink="">
      <xdr:nvSpPr>
        <xdr:cNvPr id="19" name="Rectangle 18">
          <a:extLst>
            <a:ext uri="{FF2B5EF4-FFF2-40B4-BE49-F238E27FC236}">
              <a16:creationId xmlns:a16="http://schemas.microsoft.com/office/drawing/2014/main" id="{CEA728FF-6204-1AC1-5AC0-6B78903415E2}"/>
            </a:ext>
          </a:extLst>
        </xdr:cNvPr>
        <xdr:cNvSpPr/>
      </xdr:nvSpPr>
      <xdr:spPr>
        <a:xfrm>
          <a:off x="2158999" y="6838463"/>
          <a:ext cx="2325077" cy="498230"/>
        </a:xfrm>
        <a:prstGeom prst="rect">
          <a:avLst/>
        </a:prstGeom>
        <a:solidFill>
          <a:schemeClr val="tx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0" i="1">
              <a:ln>
                <a:solidFill>
                  <a:schemeClr val="bg1"/>
                </a:solidFill>
              </a:ln>
              <a:solidFill>
                <a:schemeClr val="bg1"/>
              </a:solidFill>
              <a:latin typeface="Aparajita" panose="02020603050405020304" pitchFamily="18" charset="0"/>
              <a:cs typeface="Aparajita" panose="02020603050405020304" pitchFamily="18" charset="0"/>
            </a:rPr>
            <a:t>DELETE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198120</xdr:colOff>
      <xdr:row>4</xdr:row>
      <xdr:rowOff>89649</xdr:rowOff>
    </xdr:from>
    <xdr:to>
      <xdr:col>18</xdr:col>
      <xdr:colOff>551890</xdr:colOff>
      <xdr:row>25</xdr:row>
      <xdr:rowOff>23870</xdr:rowOff>
    </xdr:to>
    <xdr:graphicFrame macro="">
      <xdr:nvGraphicFramePr>
        <xdr:cNvPr id="2" name="Chart 1">
          <a:extLst>
            <a:ext uri="{FF2B5EF4-FFF2-40B4-BE49-F238E27FC236}">
              <a16:creationId xmlns:a16="http://schemas.microsoft.com/office/drawing/2014/main" id="{29E69402-B1FD-0D0C-3EE1-A63853ECBC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655320</xdr:colOff>
      <xdr:row>22</xdr:row>
      <xdr:rowOff>60960</xdr:rowOff>
    </xdr:from>
    <xdr:to>
      <xdr:col>1</xdr:col>
      <xdr:colOff>76200</xdr:colOff>
      <xdr:row>24</xdr:row>
      <xdr:rowOff>7620</xdr:rowOff>
    </xdr:to>
    <xdr:sp macro="" textlink="">
      <xdr:nvSpPr>
        <xdr:cNvPr id="2" name="TextBox 1">
          <a:hlinkClick xmlns:r="http://schemas.openxmlformats.org/officeDocument/2006/relationships" r:id="rId1"/>
          <a:extLst>
            <a:ext uri="{FF2B5EF4-FFF2-40B4-BE49-F238E27FC236}">
              <a16:creationId xmlns:a16="http://schemas.microsoft.com/office/drawing/2014/main" id="{3EC7D084-EA25-CF16-B413-FD7272D3794F}"/>
            </a:ext>
          </a:extLst>
        </xdr:cNvPr>
        <xdr:cNvSpPr txBox="1"/>
      </xdr:nvSpPr>
      <xdr:spPr>
        <a:xfrm>
          <a:off x="655320" y="4244340"/>
          <a:ext cx="97536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DASHBOARD</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160020</xdr:colOff>
      <xdr:row>2</xdr:row>
      <xdr:rowOff>106680</xdr:rowOff>
    </xdr:from>
    <xdr:to>
      <xdr:col>13</xdr:col>
      <xdr:colOff>601980</xdr:colOff>
      <xdr:row>26</xdr:row>
      <xdr:rowOff>175260</xdr:rowOff>
    </xdr:to>
    <xdr:sp macro="" textlink="">
      <xdr:nvSpPr>
        <xdr:cNvPr id="2" name="Rectangle: Rounded Corners 1">
          <a:extLst>
            <a:ext uri="{FF2B5EF4-FFF2-40B4-BE49-F238E27FC236}">
              <a16:creationId xmlns:a16="http://schemas.microsoft.com/office/drawing/2014/main" id="{72317FA1-832F-3DD2-1CCE-9C51738D3D2C}"/>
            </a:ext>
          </a:extLst>
        </xdr:cNvPr>
        <xdr:cNvSpPr/>
      </xdr:nvSpPr>
      <xdr:spPr>
        <a:xfrm>
          <a:off x="3208020" y="472440"/>
          <a:ext cx="5318760" cy="445770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IN" sz="1200" b="0" i="1" u="none" strike="noStrike" kern="0" cap="none" spc="0" normalizeH="0" baseline="0" noProof="0">
              <a:ln>
                <a:noFill/>
              </a:ln>
              <a:solidFill>
                <a:prstClr val="white"/>
              </a:solidFill>
              <a:effectLst/>
              <a:uLnTx/>
              <a:uFillTx/>
              <a:latin typeface="+mn-lt"/>
              <a:ea typeface="+mn-ea"/>
              <a:cs typeface="+mn-cs"/>
            </a:rPr>
            <a:t>  </a:t>
          </a:r>
          <a:r>
            <a:rPr kumimoji="0" lang="en-IN" sz="1200" b="1" i="1" u="none" strike="noStrike" kern="0" cap="none" spc="0" normalizeH="0" baseline="0" noProof="0">
              <a:ln>
                <a:noFill/>
              </a:ln>
              <a:solidFill>
                <a:prstClr val="white"/>
              </a:solidFill>
              <a:effectLst/>
              <a:uLnTx/>
              <a:uFillTx/>
              <a:latin typeface="+mn-lt"/>
              <a:ea typeface="+mn-ea"/>
              <a:cs typeface="+mn-cs"/>
            </a:rPr>
            <a:t>INSIGHTS</a:t>
          </a:r>
          <a:r>
            <a:rPr kumimoji="0" lang="en-IN" sz="1200" b="0" i="1" u="none" strike="noStrike" kern="0" cap="none" spc="0" normalizeH="0" baseline="0" noProof="0">
              <a:ln>
                <a:noFill/>
              </a:ln>
              <a:solidFill>
                <a:prstClr val="white"/>
              </a:solidFill>
              <a:effectLst/>
              <a:uLnTx/>
              <a:uFillTx/>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IN" sz="1400" b="1" i="1" u="none" strike="noStrike" kern="0" cap="none" spc="0" normalizeH="0" baseline="0" noProof="0">
              <a:ln>
                <a:noFill/>
              </a:ln>
              <a:solidFill>
                <a:prstClr val="white"/>
              </a:solidFill>
              <a:effectLst/>
              <a:uLnTx/>
              <a:uFillTx/>
              <a:latin typeface="+mn-lt"/>
              <a:ea typeface="+mn-ea"/>
              <a:cs typeface="+mn-cs"/>
            </a:rPr>
            <a:t>1. Sales By Category</a:t>
          </a:r>
          <a:r>
            <a:rPr kumimoji="0" lang="en-IN" sz="1400" b="0" i="0" u="none" strike="noStrike" kern="0" cap="none" spc="0" normalizeH="0" baseline="0" noProof="0">
              <a:ln>
                <a:noFill/>
              </a:ln>
              <a:solidFill>
                <a:prstClr val="white"/>
              </a:solidFill>
              <a:effectLst/>
              <a:uLnTx/>
              <a:uFillTx/>
              <a:latin typeface="+mn-lt"/>
              <a:ea typeface="+mn-ea"/>
              <a:cs typeface="+mn-cs"/>
            </a:rPr>
            <a:t> The pie chart reveals the distribution of sales across four categories: Electronics, Appliances, Mobiles, and Others.   Electronics dominate the share, followed by Appliances.    </a:t>
          </a:r>
        </a:p>
        <a:p>
          <a:pPr marL="0" marR="0" lvl="0" indent="0" defTabSz="914400" eaLnBrk="1" fontAlgn="auto" latinLnBrk="0" hangingPunct="1">
            <a:lnSpc>
              <a:spcPct val="100000"/>
            </a:lnSpc>
            <a:spcBef>
              <a:spcPts val="0"/>
            </a:spcBef>
            <a:spcAft>
              <a:spcPts val="0"/>
            </a:spcAft>
            <a:buClrTx/>
            <a:buSzTx/>
            <a:buFontTx/>
            <a:buNone/>
            <a:tabLst/>
            <a:defRPr/>
          </a:pPr>
          <a:r>
            <a:rPr kumimoji="0" lang="en-IN" sz="1400" b="1" i="1" u="none" strike="noStrike" kern="0" cap="none" spc="0" normalizeH="0" baseline="0" noProof="0">
              <a:ln>
                <a:noFill/>
              </a:ln>
              <a:solidFill>
                <a:prstClr val="white"/>
              </a:solidFill>
              <a:effectLst/>
              <a:uLnTx/>
              <a:uFillTx/>
              <a:latin typeface="+mn-lt"/>
              <a:ea typeface="+mn-ea"/>
              <a:cs typeface="+mn-cs"/>
            </a:rPr>
            <a:t>2. Sales By Product</a:t>
          </a:r>
          <a:r>
            <a:rPr kumimoji="0" lang="en-IN" sz="1400" b="0" i="0" u="none" strike="noStrike" kern="0" cap="none" spc="0" normalizeH="0" baseline="0" noProof="0">
              <a:ln>
                <a:noFill/>
              </a:ln>
              <a:solidFill>
                <a:prstClr val="white"/>
              </a:solidFill>
              <a:effectLst/>
              <a:uLnTx/>
              <a:uFillTx/>
              <a:latin typeface="+mn-lt"/>
              <a:ea typeface="+mn-ea"/>
              <a:cs typeface="+mn-cs"/>
            </a:rPr>
            <a:t> The bar graph showcases individual product sales.     </a:t>
          </a:r>
        </a:p>
        <a:p>
          <a:pPr marL="0" marR="0" lvl="0" indent="0" defTabSz="914400" eaLnBrk="1" fontAlgn="auto" latinLnBrk="0" hangingPunct="1">
            <a:lnSpc>
              <a:spcPct val="100000"/>
            </a:lnSpc>
            <a:spcBef>
              <a:spcPts val="0"/>
            </a:spcBef>
            <a:spcAft>
              <a:spcPts val="0"/>
            </a:spcAft>
            <a:buClrTx/>
            <a:buSzTx/>
            <a:buFontTx/>
            <a:buNone/>
            <a:tabLst/>
            <a:defRPr/>
          </a:pPr>
          <a:r>
            <a:rPr kumimoji="0" lang="en-IN" sz="1400" b="1" i="1" u="none" strike="noStrike" kern="0" cap="none" spc="0" normalizeH="0" baseline="0" noProof="0">
              <a:ln>
                <a:noFill/>
              </a:ln>
              <a:solidFill>
                <a:prstClr val="white"/>
              </a:solidFill>
              <a:effectLst/>
              <a:uLnTx/>
              <a:uFillTx/>
              <a:latin typeface="+mn-lt"/>
              <a:ea typeface="+mn-ea"/>
              <a:cs typeface="+mn-cs"/>
            </a:rPr>
            <a:t>3. Sales By City</a:t>
          </a:r>
          <a:r>
            <a:rPr kumimoji="0" lang="en-IN" sz="1400" b="0" i="0" u="none" strike="noStrike" kern="0" cap="none" spc="0" normalizeH="0" baseline="0" noProof="0">
              <a:ln>
                <a:noFill/>
              </a:ln>
              <a:solidFill>
                <a:prstClr val="white"/>
              </a:solidFill>
              <a:effectLst/>
              <a:uLnTx/>
              <a:uFillTx/>
              <a:latin typeface="+mn-lt"/>
              <a:ea typeface="+mn-ea"/>
              <a:cs typeface="+mn-cs"/>
            </a:rPr>
            <a:t> The line graph tracks sales trends across different cities.   Cochin, Hyderabad, and Mumbai emerge as key cities with varying sales volumes.     </a:t>
          </a:r>
        </a:p>
        <a:p>
          <a:pPr marL="0" marR="0" lvl="0" indent="0" defTabSz="914400" eaLnBrk="1" fontAlgn="auto" latinLnBrk="0" hangingPunct="1">
            <a:lnSpc>
              <a:spcPct val="100000"/>
            </a:lnSpc>
            <a:spcBef>
              <a:spcPts val="0"/>
            </a:spcBef>
            <a:spcAft>
              <a:spcPts val="0"/>
            </a:spcAft>
            <a:buClrTx/>
            <a:buSzTx/>
            <a:buFontTx/>
            <a:buNone/>
            <a:tabLst/>
            <a:defRPr/>
          </a:pPr>
          <a:r>
            <a:rPr kumimoji="0" lang="en-IN" sz="1400" b="1" i="1" u="none" strike="noStrike" kern="0" cap="none" spc="0" normalizeH="0" baseline="0" noProof="0">
              <a:ln>
                <a:noFill/>
              </a:ln>
              <a:solidFill>
                <a:prstClr val="white"/>
              </a:solidFill>
              <a:effectLst/>
              <a:uLnTx/>
              <a:uFillTx/>
              <a:latin typeface="+mn-lt"/>
              <a:ea typeface="+mn-ea"/>
              <a:cs typeface="+mn-cs"/>
            </a:rPr>
            <a:t>4. Sales by SalesRep</a:t>
          </a:r>
          <a:r>
            <a:rPr kumimoji="0" lang="en-IN" sz="1400" b="0" i="0" u="none" strike="noStrike" kern="0" cap="none" spc="0" normalizeH="0" baseline="0" noProof="0">
              <a:ln>
                <a:noFill/>
              </a:ln>
              <a:solidFill>
                <a:prstClr val="white"/>
              </a:solidFill>
              <a:effectLst/>
              <a:uLnTx/>
              <a:uFillTx/>
              <a:latin typeface="+mn-lt"/>
              <a:ea typeface="+mn-ea"/>
              <a:cs typeface="+mn-cs"/>
            </a:rPr>
            <a:t> The horizontal bar graphs represent sales by individual salespeople.   Notable performers include “Pranav”, “Bunty” and “Adesh.”     </a:t>
          </a:r>
        </a:p>
        <a:p>
          <a:pPr marL="0" marR="0" lvl="0" indent="0" defTabSz="914400" eaLnBrk="1" fontAlgn="auto" latinLnBrk="0" hangingPunct="1">
            <a:lnSpc>
              <a:spcPct val="100000"/>
            </a:lnSpc>
            <a:spcBef>
              <a:spcPts val="0"/>
            </a:spcBef>
            <a:spcAft>
              <a:spcPts val="0"/>
            </a:spcAft>
            <a:buClrTx/>
            <a:buSzTx/>
            <a:buFontTx/>
            <a:buNone/>
            <a:tabLst/>
            <a:defRPr/>
          </a:pPr>
          <a:r>
            <a:rPr kumimoji="0" lang="en-IN" sz="1400" b="1" i="1" u="none" strike="noStrike" kern="0" cap="none" spc="0" normalizeH="0" baseline="0" noProof="0">
              <a:ln>
                <a:noFill/>
              </a:ln>
              <a:solidFill>
                <a:prstClr val="white"/>
              </a:solidFill>
              <a:effectLst/>
              <a:uLnTx/>
              <a:uFillTx/>
              <a:latin typeface="+mn-lt"/>
              <a:ea typeface="+mn-ea"/>
              <a:cs typeface="+mn-cs"/>
            </a:rPr>
            <a:t>5. Sales According to months</a:t>
          </a:r>
          <a:r>
            <a:rPr kumimoji="0" lang="en-IN" sz="1400" b="0" i="0" u="none" strike="noStrike" kern="0" cap="none" spc="0" normalizeH="0" baseline="0" noProof="0">
              <a:ln>
                <a:noFill/>
              </a:ln>
              <a:solidFill>
                <a:prstClr val="white"/>
              </a:solidFill>
              <a:effectLst/>
              <a:uLnTx/>
              <a:uFillTx/>
              <a:latin typeface="+mn-lt"/>
              <a:ea typeface="+mn-ea"/>
              <a:cs typeface="+mn-cs"/>
            </a:rPr>
            <a:t> Another horizontal bar graph displays monthly sales.   May and June stand out as robust sales months.    </a:t>
          </a:r>
        </a:p>
        <a:p>
          <a:pPr marL="0" marR="0" lvl="0" indent="0" defTabSz="914400" eaLnBrk="1" fontAlgn="auto" latinLnBrk="0" hangingPunct="1">
            <a:lnSpc>
              <a:spcPct val="100000"/>
            </a:lnSpc>
            <a:spcBef>
              <a:spcPts val="0"/>
            </a:spcBef>
            <a:spcAft>
              <a:spcPts val="0"/>
            </a:spcAft>
            <a:buClrTx/>
            <a:buSzTx/>
            <a:buFontTx/>
            <a:buNone/>
            <a:tabLst/>
            <a:defRPr/>
          </a:pPr>
          <a:r>
            <a:rPr kumimoji="0" lang="en-IN" sz="1400" b="1" i="1" u="none" strike="noStrike" kern="0" cap="none" spc="0" normalizeH="0" baseline="0" noProof="0">
              <a:ln>
                <a:noFill/>
              </a:ln>
              <a:solidFill>
                <a:prstClr val="white"/>
              </a:solidFill>
              <a:effectLst/>
              <a:uLnTx/>
              <a:uFillTx/>
              <a:latin typeface="+mn-lt"/>
              <a:ea typeface="+mn-ea"/>
              <a:cs typeface="+mn-cs"/>
            </a:rPr>
            <a:t>6. Total Sales </a:t>
          </a:r>
          <a:r>
            <a:rPr kumimoji="0" lang="en-IN" sz="1400" b="0" i="0" u="none" strike="noStrike" kern="0" cap="none" spc="0" normalizeH="0" baseline="0" noProof="0">
              <a:ln>
                <a:noFill/>
              </a:ln>
              <a:solidFill>
                <a:prstClr val="white"/>
              </a:solidFill>
              <a:effectLst/>
              <a:uLnTx/>
              <a:uFillTx/>
              <a:latin typeface="+mn-lt"/>
              <a:ea typeface="+mn-ea"/>
              <a:cs typeface="+mn-cs"/>
            </a:rPr>
            <a:t> The dashboard reports a total sales figure of ₹84,36,495. </a:t>
          </a:r>
        </a:p>
        <a:p>
          <a:pPr algn="l"/>
          <a:endParaRPr lang="en-IN" sz="16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JWAL" refreshedDate="45484.005340277778" createdVersion="8" refreshedVersion="8" minRefreshableVersion="3" recordCount="1560" xr:uid="{AA2EFE89-7C85-48AB-A605-1834258DC181}">
  <cacheSource type="worksheet">
    <worksheetSource ref="F3:M1563" sheet="DATA"/>
  </cacheSource>
  <cacheFields count="10">
    <cacheField name="Date" numFmtId="14">
      <sharedItems containsSemiMixedTypes="0" containsNonDate="0" containsDate="1" containsString="0" minDate="2021-01-08T00:00:00" maxDate="2022-01-01T00:00:00" count="52">
        <d v="2021-01-08T00:00:00"/>
        <d v="2021-01-15T00:00:00"/>
        <d v="2021-01-22T00:00:00"/>
        <d v="2021-01-29T00:00:00"/>
        <d v="2021-02-05T00:00:00"/>
        <d v="2021-02-12T00:00:00"/>
        <d v="2021-02-19T00:00:00"/>
        <d v="2021-02-26T00:00:00"/>
        <d v="2021-03-05T00:00:00"/>
        <d v="2021-03-12T00:00:00"/>
        <d v="2021-03-19T00:00:00"/>
        <d v="2021-03-26T00:00:00"/>
        <d v="2021-04-02T00:00:00"/>
        <d v="2021-04-09T00:00:00"/>
        <d v="2021-04-16T00:00:00"/>
        <d v="2021-04-23T00:00:00"/>
        <d v="2021-04-30T00:00:00"/>
        <d v="2021-05-07T00:00:00"/>
        <d v="2021-05-14T00:00:00"/>
        <d v="2021-05-21T00:00:00"/>
        <d v="2021-05-28T00:00:00"/>
        <d v="2021-06-04T00:00:00"/>
        <d v="2021-06-11T00:00:00"/>
        <d v="2021-06-18T00:00:00"/>
        <d v="2021-06-25T00:00:00"/>
        <d v="2021-07-02T00:00:00"/>
        <d v="2021-07-09T00:00:00"/>
        <d v="2021-07-16T00:00:00"/>
        <d v="2021-07-23T00:00:00"/>
        <d v="2021-07-30T00:00:00"/>
        <d v="2021-08-06T00:00:00"/>
        <d v="2021-08-13T00:00:00"/>
        <d v="2021-08-20T00:00:00"/>
        <d v="2021-08-27T00:00:00"/>
        <d v="2021-09-03T00:00:00"/>
        <d v="2021-09-10T00:00:00"/>
        <d v="2021-09-17T00:00:00"/>
        <d v="2021-09-24T00:00:00"/>
        <d v="2021-10-01T00:00:00"/>
        <d v="2021-10-08T00:00:00"/>
        <d v="2021-10-15T00:00:00"/>
        <d v="2021-10-22T00:00:00"/>
        <d v="2021-10-29T00:00:00"/>
        <d v="2021-11-05T00:00:00"/>
        <d v="2021-11-12T00:00:00"/>
        <d v="2021-11-19T00:00:00"/>
        <d v="2021-11-26T00:00:00"/>
        <d v="2021-12-03T00:00:00"/>
        <d v="2021-12-10T00:00:00"/>
        <d v="2021-12-17T00:00:00"/>
        <d v="2021-12-24T00:00:00"/>
        <d v="2021-12-31T00:00:00"/>
      </sharedItems>
      <fieldGroup par="9"/>
    </cacheField>
    <cacheField name="Product" numFmtId="0">
      <sharedItems count="6">
        <s v="Dell XPS 13"/>
        <s v="OnePlus Buds"/>
        <s v="Apple AirPods Pro"/>
        <s v="HP Envy x360"/>
        <s v="iPhone 11 Pro"/>
        <s v="OnePlus 8 Pro"/>
      </sharedItems>
    </cacheField>
    <cacheField name="Category" numFmtId="0">
      <sharedItems count="3">
        <s v="Laptop"/>
        <s v="Headphone"/>
        <s v="Phone"/>
      </sharedItems>
    </cacheField>
    <cacheField name="Sales Rep" numFmtId="0">
      <sharedItems count="10">
        <s v="Adesh"/>
        <s v="Pranav"/>
        <s v="Pratik"/>
        <s v="Hritik"/>
        <s v="Nayan"/>
        <s v="Priya"/>
        <s v="Shivani"/>
        <s v="Tejas"/>
        <s v="Bunty"/>
        <s v="Riya"/>
      </sharedItems>
    </cacheField>
    <cacheField name="City" numFmtId="0">
      <sharedItems count="5">
        <s v="Bangalore"/>
        <s v="Mumbai"/>
        <s v="Cochin"/>
        <s v="Delhi"/>
        <s v="Hyderabad"/>
      </sharedItems>
    </cacheField>
    <cacheField name="No.of Units" numFmtId="3">
      <sharedItems containsSemiMixedTypes="0" containsString="0" containsNumber="1" containsInteger="1" minValue="1" maxValue="90"/>
    </cacheField>
    <cacheField name="Price" numFmtId="3">
      <sharedItems containsSemiMixedTypes="0" containsString="0" containsNumber="1" containsInteger="1" minValue="75" maxValue="2001"/>
    </cacheField>
    <cacheField name="Amount" numFmtId="3">
      <sharedItems containsSemiMixedTypes="0" containsString="0" containsNumber="1" containsInteger="1" minValue="630" maxValue="12006"/>
    </cacheField>
    <cacheField name="Days (Date)" numFmtId="0" databaseField="0">
      <fieldGroup base="0">
        <rangePr groupBy="days" startDate="2021-01-08T00:00:00" endDate="2022-01-01T00:00:00"/>
        <groupItems count="368">
          <s v="&lt;08-01-202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2"/>
        </groupItems>
      </fieldGroup>
    </cacheField>
    <cacheField name="Months (Date)" numFmtId="0" databaseField="0">
      <fieldGroup base="0">
        <rangePr groupBy="months" startDate="2021-01-08T00:00:00" endDate="2022-01-01T00:00:00"/>
        <groupItems count="14">
          <s v="&lt;08-01-2021"/>
          <s v="Jan"/>
          <s v="Feb"/>
          <s v="Mar"/>
          <s v="Apr"/>
          <s v="May"/>
          <s v="Jun"/>
          <s v="Jul"/>
          <s v="Aug"/>
          <s v="Sep"/>
          <s v="Oct"/>
          <s v="Nov"/>
          <s v="Dec"/>
          <s v="&gt;01-01-2022"/>
        </groupItems>
      </fieldGroup>
    </cacheField>
  </cacheFields>
  <extLst>
    <ext xmlns:x14="http://schemas.microsoft.com/office/spreadsheetml/2009/9/main" uri="{725AE2AE-9491-48be-B2B4-4EB974FC3084}">
      <x14:pivotCacheDefinition pivotCacheId="73675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60">
  <r>
    <x v="0"/>
    <x v="0"/>
    <x v="0"/>
    <x v="0"/>
    <x v="0"/>
    <n v="3"/>
    <n v="2001"/>
    <n v="6003"/>
  </r>
  <r>
    <x v="0"/>
    <x v="1"/>
    <x v="1"/>
    <x v="1"/>
    <x v="0"/>
    <n v="31"/>
    <n v="75"/>
    <n v="2325"/>
  </r>
  <r>
    <x v="0"/>
    <x v="2"/>
    <x v="1"/>
    <x v="1"/>
    <x v="0"/>
    <n v="12"/>
    <n v="315"/>
    <n v="3780"/>
  </r>
  <r>
    <x v="0"/>
    <x v="3"/>
    <x v="0"/>
    <x v="0"/>
    <x v="0"/>
    <n v="4"/>
    <n v="1080"/>
    <n v="4320"/>
  </r>
  <r>
    <x v="0"/>
    <x v="4"/>
    <x v="2"/>
    <x v="0"/>
    <x v="0"/>
    <n v="4"/>
    <n v="1575"/>
    <n v="6300"/>
  </r>
  <r>
    <x v="0"/>
    <x v="5"/>
    <x v="2"/>
    <x v="0"/>
    <x v="0"/>
    <n v="10"/>
    <n v="790"/>
    <n v="7900"/>
  </r>
  <r>
    <x v="0"/>
    <x v="0"/>
    <x v="0"/>
    <x v="2"/>
    <x v="1"/>
    <n v="5"/>
    <n v="2001"/>
    <n v="10005"/>
  </r>
  <r>
    <x v="0"/>
    <x v="1"/>
    <x v="1"/>
    <x v="3"/>
    <x v="1"/>
    <n v="40"/>
    <n v="75"/>
    <n v="3000"/>
  </r>
  <r>
    <x v="0"/>
    <x v="2"/>
    <x v="1"/>
    <x v="3"/>
    <x v="1"/>
    <n v="15"/>
    <n v="315"/>
    <n v="4725"/>
  </r>
  <r>
    <x v="0"/>
    <x v="3"/>
    <x v="0"/>
    <x v="2"/>
    <x v="1"/>
    <n v="6"/>
    <n v="1080"/>
    <n v="6480"/>
  </r>
  <r>
    <x v="0"/>
    <x v="4"/>
    <x v="2"/>
    <x v="3"/>
    <x v="1"/>
    <n v="3"/>
    <n v="1575"/>
    <n v="4725"/>
  </r>
  <r>
    <x v="0"/>
    <x v="5"/>
    <x v="2"/>
    <x v="3"/>
    <x v="1"/>
    <n v="10"/>
    <n v="790"/>
    <n v="7900"/>
  </r>
  <r>
    <x v="0"/>
    <x v="0"/>
    <x v="0"/>
    <x v="4"/>
    <x v="2"/>
    <n v="3"/>
    <n v="2001"/>
    <n v="6003"/>
  </r>
  <r>
    <x v="0"/>
    <x v="1"/>
    <x v="1"/>
    <x v="4"/>
    <x v="2"/>
    <n v="33"/>
    <n v="75"/>
    <n v="2475"/>
  </r>
  <r>
    <x v="0"/>
    <x v="2"/>
    <x v="1"/>
    <x v="4"/>
    <x v="2"/>
    <n v="11"/>
    <n v="315"/>
    <n v="3465"/>
  </r>
  <r>
    <x v="0"/>
    <x v="3"/>
    <x v="0"/>
    <x v="4"/>
    <x v="2"/>
    <n v="2"/>
    <n v="1080"/>
    <n v="2160"/>
  </r>
  <r>
    <x v="0"/>
    <x v="4"/>
    <x v="2"/>
    <x v="5"/>
    <x v="2"/>
    <n v="3"/>
    <n v="1575"/>
    <n v="4725"/>
  </r>
  <r>
    <x v="0"/>
    <x v="5"/>
    <x v="2"/>
    <x v="5"/>
    <x v="2"/>
    <n v="5"/>
    <n v="790"/>
    <n v="3950"/>
  </r>
  <r>
    <x v="0"/>
    <x v="0"/>
    <x v="0"/>
    <x v="6"/>
    <x v="3"/>
    <n v="5"/>
    <n v="2001"/>
    <n v="10005"/>
  </r>
  <r>
    <x v="0"/>
    <x v="1"/>
    <x v="1"/>
    <x v="6"/>
    <x v="3"/>
    <n v="41"/>
    <n v="75"/>
    <n v="3075"/>
  </r>
  <r>
    <x v="0"/>
    <x v="2"/>
    <x v="1"/>
    <x v="6"/>
    <x v="3"/>
    <n v="11"/>
    <n v="315"/>
    <n v="3465"/>
  </r>
  <r>
    <x v="0"/>
    <x v="3"/>
    <x v="0"/>
    <x v="6"/>
    <x v="3"/>
    <n v="4"/>
    <n v="1080"/>
    <n v="4320"/>
  </r>
  <r>
    <x v="0"/>
    <x v="4"/>
    <x v="2"/>
    <x v="7"/>
    <x v="3"/>
    <n v="6"/>
    <n v="1575"/>
    <n v="9450"/>
  </r>
  <r>
    <x v="0"/>
    <x v="5"/>
    <x v="2"/>
    <x v="7"/>
    <x v="3"/>
    <n v="8"/>
    <n v="790"/>
    <n v="6320"/>
  </r>
  <r>
    <x v="0"/>
    <x v="0"/>
    <x v="0"/>
    <x v="8"/>
    <x v="4"/>
    <n v="6"/>
    <n v="2001"/>
    <n v="12006"/>
  </r>
  <r>
    <x v="0"/>
    <x v="1"/>
    <x v="1"/>
    <x v="9"/>
    <x v="4"/>
    <n v="44"/>
    <n v="75"/>
    <n v="3300"/>
  </r>
  <r>
    <x v="0"/>
    <x v="2"/>
    <x v="1"/>
    <x v="9"/>
    <x v="4"/>
    <n v="13"/>
    <n v="315"/>
    <n v="4095"/>
  </r>
  <r>
    <x v="0"/>
    <x v="3"/>
    <x v="0"/>
    <x v="8"/>
    <x v="4"/>
    <n v="4"/>
    <n v="1080"/>
    <n v="4320"/>
  </r>
  <r>
    <x v="0"/>
    <x v="4"/>
    <x v="2"/>
    <x v="9"/>
    <x v="4"/>
    <n v="5"/>
    <n v="1575"/>
    <n v="7875"/>
  </r>
  <r>
    <x v="0"/>
    <x v="5"/>
    <x v="2"/>
    <x v="9"/>
    <x v="4"/>
    <n v="8"/>
    <n v="790"/>
    <n v="6320"/>
  </r>
  <r>
    <x v="1"/>
    <x v="0"/>
    <x v="0"/>
    <x v="0"/>
    <x v="0"/>
    <n v="6"/>
    <n v="2001"/>
    <n v="12006"/>
  </r>
  <r>
    <x v="1"/>
    <x v="1"/>
    <x v="1"/>
    <x v="1"/>
    <x v="0"/>
    <n v="40"/>
    <n v="75"/>
    <n v="3000"/>
  </r>
  <r>
    <x v="1"/>
    <x v="2"/>
    <x v="1"/>
    <x v="1"/>
    <x v="0"/>
    <n v="12"/>
    <n v="315"/>
    <n v="3780"/>
  </r>
  <r>
    <x v="1"/>
    <x v="3"/>
    <x v="0"/>
    <x v="0"/>
    <x v="0"/>
    <n v="3"/>
    <n v="1080"/>
    <n v="3240"/>
  </r>
  <r>
    <x v="1"/>
    <x v="4"/>
    <x v="2"/>
    <x v="0"/>
    <x v="0"/>
    <n v="6"/>
    <n v="1575"/>
    <n v="9450"/>
  </r>
  <r>
    <x v="1"/>
    <x v="5"/>
    <x v="2"/>
    <x v="0"/>
    <x v="0"/>
    <n v="11"/>
    <n v="790"/>
    <n v="8690"/>
  </r>
  <r>
    <x v="1"/>
    <x v="0"/>
    <x v="0"/>
    <x v="2"/>
    <x v="1"/>
    <n v="4"/>
    <n v="2001"/>
    <n v="8004"/>
  </r>
  <r>
    <x v="1"/>
    <x v="1"/>
    <x v="1"/>
    <x v="3"/>
    <x v="1"/>
    <n v="60"/>
    <n v="75"/>
    <n v="4500"/>
  </r>
  <r>
    <x v="1"/>
    <x v="2"/>
    <x v="1"/>
    <x v="3"/>
    <x v="1"/>
    <n v="15"/>
    <n v="315"/>
    <n v="4725"/>
  </r>
  <r>
    <x v="1"/>
    <x v="3"/>
    <x v="0"/>
    <x v="2"/>
    <x v="1"/>
    <n v="3"/>
    <n v="1080"/>
    <n v="3240"/>
  </r>
  <r>
    <x v="1"/>
    <x v="4"/>
    <x v="2"/>
    <x v="3"/>
    <x v="1"/>
    <n v="5"/>
    <n v="1575"/>
    <n v="7875"/>
  </r>
  <r>
    <x v="1"/>
    <x v="5"/>
    <x v="2"/>
    <x v="3"/>
    <x v="1"/>
    <n v="6"/>
    <n v="790"/>
    <n v="4740"/>
  </r>
  <r>
    <x v="1"/>
    <x v="0"/>
    <x v="0"/>
    <x v="4"/>
    <x v="2"/>
    <n v="4"/>
    <n v="2001"/>
    <n v="8004"/>
  </r>
  <r>
    <x v="1"/>
    <x v="1"/>
    <x v="1"/>
    <x v="4"/>
    <x v="2"/>
    <n v="33"/>
    <n v="75"/>
    <n v="2475"/>
  </r>
  <r>
    <x v="1"/>
    <x v="2"/>
    <x v="1"/>
    <x v="4"/>
    <x v="2"/>
    <n v="5"/>
    <n v="315"/>
    <n v="1575"/>
  </r>
  <r>
    <x v="1"/>
    <x v="3"/>
    <x v="0"/>
    <x v="4"/>
    <x v="2"/>
    <n v="1"/>
    <n v="1080"/>
    <n v="1080"/>
  </r>
  <r>
    <x v="1"/>
    <x v="4"/>
    <x v="2"/>
    <x v="5"/>
    <x v="2"/>
    <n v="5"/>
    <n v="1575"/>
    <n v="7875"/>
  </r>
  <r>
    <x v="1"/>
    <x v="5"/>
    <x v="2"/>
    <x v="5"/>
    <x v="2"/>
    <n v="3"/>
    <n v="790"/>
    <n v="2370"/>
  </r>
  <r>
    <x v="1"/>
    <x v="0"/>
    <x v="0"/>
    <x v="6"/>
    <x v="3"/>
    <n v="3"/>
    <n v="2001"/>
    <n v="6003"/>
  </r>
  <r>
    <x v="1"/>
    <x v="1"/>
    <x v="1"/>
    <x v="6"/>
    <x v="3"/>
    <n v="45"/>
    <n v="75"/>
    <n v="3375"/>
  </r>
  <r>
    <x v="1"/>
    <x v="2"/>
    <x v="1"/>
    <x v="6"/>
    <x v="3"/>
    <n v="8"/>
    <n v="315"/>
    <n v="2520"/>
  </r>
  <r>
    <x v="1"/>
    <x v="3"/>
    <x v="0"/>
    <x v="6"/>
    <x v="3"/>
    <n v="3"/>
    <n v="1080"/>
    <n v="3240"/>
  </r>
  <r>
    <x v="1"/>
    <x v="4"/>
    <x v="2"/>
    <x v="7"/>
    <x v="3"/>
    <n v="6"/>
    <n v="1575"/>
    <n v="9450"/>
  </r>
  <r>
    <x v="1"/>
    <x v="5"/>
    <x v="2"/>
    <x v="7"/>
    <x v="3"/>
    <n v="5"/>
    <n v="790"/>
    <n v="3950"/>
  </r>
  <r>
    <x v="1"/>
    <x v="0"/>
    <x v="0"/>
    <x v="8"/>
    <x v="4"/>
    <n v="3"/>
    <n v="2001"/>
    <n v="6003"/>
  </r>
  <r>
    <x v="1"/>
    <x v="1"/>
    <x v="1"/>
    <x v="9"/>
    <x v="4"/>
    <n v="39"/>
    <n v="75"/>
    <n v="2925"/>
  </r>
  <r>
    <x v="1"/>
    <x v="2"/>
    <x v="1"/>
    <x v="9"/>
    <x v="4"/>
    <n v="7"/>
    <n v="315"/>
    <n v="2205"/>
  </r>
  <r>
    <x v="1"/>
    <x v="3"/>
    <x v="0"/>
    <x v="8"/>
    <x v="4"/>
    <n v="6"/>
    <n v="1080"/>
    <n v="6480"/>
  </r>
  <r>
    <x v="1"/>
    <x v="4"/>
    <x v="2"/>
    <x v="9"/>
    <x v="4"/>
    <n v="6"/>
    <n v="1575"/>
    <n v="9450"/>
  </r>
  <r>
    <x v="1"/>
    <x v="5"/>
    <x v="2"/>
    <x v="9"/>
    <x v="4"/>
    <n v="7"/>
    <n v="790"/>
    <n v="5530"/>
  </r>
  <r>
    <x v="2"/>
    <x v="0"/>
    <x v="0"/>
    <x v="0"/>
    <x v="0"/>
    <n v="3"/>
    <n v="2001"/>
    <n v="6003"/>
  </r>
  <r>
    <x v="2"/>
    <x v="1"/>
    <x v="1"/>
    <x v="1"/>
    <x v="0"/>
    <n v="51"/>
    <n v="75"/>
    <n v="3825"/>
  </r>
  <r>
    <x v="2"/>
    <x v="2"/>
    <x v="1"/>
    <x v="1"/>
    <x v="0"/>
    <n v="5"/>
    <n v="315"/>
    <n v="1575"/>
  </r>
  <r>
    <x v="2"/>
    <x v="3"/>
    <x v="0"/>
    <x v="0"/>
    <x v="0"/>
    <n v="6"/>
    <n v="1080"/>
    <n v="6480"/>
  </r>
  <r>
    <x v="2"/>
    <x v="4"/>
    <x v="2"/>
    <x v="0"/>
    <x v="0"/>
    <n v="3"/>
    <n v="1575"/>
    <n v="4725"/>
  </r>
  <r>
    <x v="2"/>
    <x v="5"/>
    <x v="2"/>
    <x v="0"/>
    <x v="0"/>
    <n v="5"/>
    <n v="790"/>
    <n v="3950"/>
  </r>
  <r>
    <x v="2"/>
    <x v="0"/>
    <x v="0"/>
    <x v="2"/>
    <x v="1"/>
    <n v="5"/>
    <n v="2001"/>
    <n v="10005"/>
  </r>
  <r>
    <x v="2"/>
    <x v="1"/>
    <x v="1"/>
    <x v="3"/>
    <x v="1"/>
    <n v="55"/>
    <n v="75"/>
    <n v="4125"/>
  </r>
  <r>
    <x v="2"/>
    <x v="2"/>
    <x v="1"/>
    <x v="3"/>
    <x v="1"/>
    <n v="10"/>
    <n v="315"/>
    <n v="3150"/>
  </r>
  <r>
    <x v="2"/>
    <x v="3"/>
    <x v="0"/>
    <x v="2"/>
    <x v="1"/>
    <n v="3"/>
    <n v="1080"/>
    <n v="3240"/>
  </r>
  <r>
    <x v="2"/>
    <x v="4"/>
    <x v="2"/>
    <x v="3"/>
    <x v="1"/>
    <n v="3"/>
    <n v="1575"/>
    <n v="4725"/>
  </r>
  <r>
    <x v="2"/>
    <x v="5"/>
    <x v="2"/>
    <x v="3"/>
    <x v="1"/>
    <n v="8"/>
    <n v="790"/>
    <n v="6320"/>
  </r>
  <r>
    <x v="2"/>
    <x v="0"/>
    <x v="0"/>
    <x v="4"/>
    <x v="2"/>
    <n v="4"/>
    <n v="2001"/>
    <n v="8004"/>
  </r>
  <r>
    <x v="2"/>
    <x v="1"/>
    <x v="1"/>
    <x v="4"/>
    <x v="2"/>
    <n v="31"/>
    <n v="75"/>
    <n v="2325"/>
  </r>
  <r>
    <x v="2"/>
    <x v="2"/>
    <x v="1"/>
    <x v="4"/>
    <x v="2"/>
    <n v="4"/>
    <n v="315"/>
    <n v="1260"/>
  </r>
  <r>
    <x v="2"/>
    <x v="3"/>
    <x v="0"/>
    <x v="4"/>
    <x v="2"/>
    <n v="3"/>
    <n v="1080"/>
    <n v="3240"/>
  </r>
  <r>
    <x v="2"/>
    <x v="4"/>
    <x v="2"/>
    <x v="5"/>
    <x v="2"/>
    <n v="3"/>
    <n v="1575"/>
    <n v="4725"/>
  </r>
  <r>
    <x v="2"/>
    <x v="5"/>
    <x v="2"/>
    <x v="5"/>
    <x v="2"/>
    <n v="10"/>
    <n v="790"/>
    <n v="7900"/>
  </r>
  <r>
    <x v="2"/>
    <x v="0"/>
    <x v="0"/>
    <x v="6"/>
    <x v="3"/>
    <n v="5"/>
    <n v="2001"/>
    <n v="10005"/>
  </r>
  <r>
    <x v="2"/>
    <x v="1"/>
    <x v="1"/>
    <x v="6"/>
    <x v="3"/>
    <n v="56"/>
    <n v="75"/>
    <n v="4200"/>
  </r>
  <r>
    <x v="2"/>
    <x v="2"/>
    <x v="1"/>
    <x v="6"/>
    <x v="3"/>
    <n v="15"/>
    <n v="315"/>
    <n v="4725"/>
  </r>
  <r>
    <x v="2"/>
    <x v="3"/>
    <x v="0"/>
    <x v="6"/>
    <x v="3"/>
    <n v="2"/>
    <n v="1080"/>
    <n v="2160"/>
  </r>
  <r>
    <x v="2"/>
    <x v="4"/>
    <x v="2"/>
    <x v="7"/>
    <x v="3"/>
    <n v="5"/>
    <n v="1575"/>
    <n v="7875"/>
  </r>
  <r>
    <x v="2"/>
    <x v="5"/>
    <x v="2"/>
    <x v="7"/>
    <x v="3"/>
    <n v="7"/>
    <n v="790"/>
    <n v="5530"/>
  </r>
  <r>
    <x v="2"/>
    <x v="0"/>
    <x v="0"/>
    <x v="8"/>
    <x v="4"/>
    <n v="3"/>
    <n v="2001"/>
    <n v="6003"/>
  </r>
  <r>
    <x v="2"/>
    <x v="1"/>
    <x v="1"/>
    <x v="9"/>
    <x v="4"/>
    <n v="30"/>
    <n v="75"/>
    <n v="2250"/>
  </r>
  <r>
    <x v="2"/>
    <x v="2"/>
    <x v="1"/>
    <x v="9"/>
    <x v="4"/>
    <n v="10"/>
    <n v="315"/>
    <n v="3150"/>
  </r>
  <r>
    <x v="2"/>
    <x v="3"/>
    <x v="0"/>
    <x v="8"/>
    <x v="4"/>
    <n v="5"/>
    <n v="1080"/>
    <n v="5400"/>
  </r>
  <r>
    <x v="2"/>
    <x v="4"/>
    <x v="2"/>
    <x v="9"/>
    <x v="4"/>
    <n v="5"/>
    <n v="1575"/>
    <n v="7875"/>
  </r>
  <r>
    <x v="2"/>
    <x v="5"/>
    <x v="2"/>
    <x v="9"/>
    <x v="4"/>
    <n v="6"/>
    <n v="790"/>
    <n v="4740"/>
  </r>
  <r>
    <x v="3"/>
    <x v="0"/>
    <x v="0"/>
    <x v="0"/>
    <x v="0"/>
    <n v="4"/>
    <n v="2001"/>
    <n v="8004"/>
  </r>
  <r>
    <x v="3"/>
    <x v="1"/>
    <x v="1"/>
    <x v="1"/>
    <x v="0"/>
    <n v="56"/>
    <n v="75"/>
    <n v="4200"/>
  </r>
  <r>
    <x v="3"/>
    <x v="2"/>
    <x v="1"/>
    <x v="1"/>
    <x v="0"/>
    <n v="13"/>
    <n v="315"/>
    <n v="4095"/>
  </r>
  <r>
    <x v="3"/>
    <x v="3"/>
    <x v="0"/>
    <x v="0"/>
    <x v="0"/>
    <n v="5"/>
    <n v="1080"/>
    <n v="5400"/>
  </r>
  <r>
    <x v="3"/>
    <x v="4"/>
    <x v="2"/>
    <x v="0"/>
    <x v="0"/>
    <n v="4"/>
    <n v="1575"/>
    <n v="6300"/>
  </r>
  <r>
    <x v="3"/>
    <x v="5"/>
    <x v="2"/>
    <x v="0"/>
    <x v="0"/>
    <n v="8"/>
    <n v="790"/>
    <n v="6320"/>
  </r>
  <r>
    <x v="3"/>
    <x v="0"/>
    <x v="0"/>
    <x v="2"/>
    <x v="1"/>
    <n v="3"/>
    <n v="2001"/>
    <n v="6003"/>
  </r>
  <r>
    <x v="3"/>
    <x v="1"/>
    <x v="1"/>
    <x v="3"/>
    <x v="1"/>
    <n v="56"/>
    <n v="75"/>
    <n v="4200"/>
  </r>
  <r>
    <x v="3"/>
    <x v="2"/>
    <x v="1"/>
    <x v="3"/>
    <x v="1"/>
    <n v="8"/>
    <n v="315"/>
    <n v="2520"/>
  </r>
  <r>
    <x v="3"/>
    <x v="3"/>
    <x v="0"/>
    <x v="2"/>
    <x v="1"/>
    <n v="4"/>
    <n v="1080"/>
    <n v="4320"/>
  </r>
  <r>
    <x v="3"/>
    <x v="4"/>
    <x v="2"/>
    <x v="3"/>
    <x v="1"/>
    <n v="6"/>
    <n v="1575"/>
    <n v="9450"/>
  </r>
  <r>
    <x v="3"/>
    <x v="5"/>
    <x v="2"/>
    <x v="3"/>
    <x v="1"/>
    <n v="10"/>
    <n v="790"/>
    <n v="7900"/>
  </r>
  <r>
    <x v="3"/>
    <x v="0"/>
    <x v="0"/>
    <x v="4"/>
    <x v="2"/>
    <n v="6"/>
    <n v="2001"/>
    <n v="12006"/>
  </r>
  <r>
    <x v="3"/>
    <x v="1"/>
    <x v="1"/>
    <x v="4"/>
    <x v="2"/>
    <n v="44"/>
    <n v="75"/>
    <n v="3300"/>
  </r>
  <r>
    <x v="3"/>
    <x v="2"/>
    <x v="1"/>
    <x v="4"/>
    <x v="2"/>
    <n v="8"/>
    <n v="315"/>
    <n v="2520"/>
  </r>
  <r>
    <x v="3"/>
    <x v="3"/>
    <x v="0"/>
    <x v="4"/>
    <x v="2"/>
    <n v="5"/>
    <n v="1080"/>
    <n v="5400"/>
  </r>
  <r>
    <x v="3"/>
    <x v="4"/>
    <x v="2"/>
    <x v="5"/>
    <x v="2"/>
    <n v="2"/>
    <n v="1575"/>
    <n v="3150"/>
  </r>
  <r>
    <x v="3"/>
    <x v="5"/>
    <x v="2"/>
    <x v="5"/>
    <x v="2"/>
    <n v="2"/>
    <n v="790"/>
    <n v="1580"/>
  </r>
  <r>
    <x v="3"/>
    <x v="0"/>
    <x v="0"/>
    <x v="6"/>
    <x v="3"/>
    <n v="6"/>
    <n v="2001"/>
    <n v="12006"/>
  </r>
  <r>
    <x v="3"/>
    <x v="1"/>
    <x v="1"/>
    <x v="6"/>
    <x v="3"/>
    <n v="58"/>
    <n v="75"/>
    <n v="4350"/>
  </r>
  <r>
    <x v="3"/>
    <x v="2"/>
    <x v="1"/>
    <x v="6"/>
    <x v="3"/>
    <n v="14"/>
    <n v="315"/>
    <n v="4410"/>
  </r>
  <r>
    <x v="3"/>
    <x v="3"/>
    <x v="0"/>
    <x v="6"/>
    <x v="3"/>
    <n v="4"/>
    <n v="1080"/>
    <n v="4320"/>
  </r>
  <r>
    <x v="3"/>
    <x v="4"/>
    <x v="2"/>
    <x v="7"/>
    <x v="3"/>
    <n v="3"/>
    <n v="1575"/>
    <n v="4725"/>
  </r>
  <r>
    <x v="3"/>
    <x v="5"/>
    <x v="2"/>
    <x v="7"/>
    <x v="3"/>
    <n v="6"/>
    <n v="790"/>
    <n v="4740"/>
  </r>
  <r>
    <x v="3"/>
    <x v="0"/>
    <x v="0"/>
    <x v="8"/>
    <x v="4"/>
    <n v="6"/>
    <n v="2001"/>
    <n v="12006"/>
  </r>
  <r>
    <x v="3"/>
    <x v="1"/>
    <x v="1"/>
    <x v="9"/>
    <x v="4"/>
    <n v="37"/>
    <n v="75"/>
    <n v="2775"/>
  </r>
  <r>
    <x v="3"/>
    <x v="2"/>
    <x v="1"/>
    <x v="9"/>
    <x v="4"/>
    <n v="13"/>
    <n v="315"/>
    <n v="4095"/>
  </r>
  <r>
    <x v="3"/>
    <x v="3"/>
    <x v="0"/>
    <x v="8"/>
    <x v="4"/>
    <n v="5"/>
    <n v="1080"/>
    <n v="5400"/>
  </r>
  <r>
    <x v="3"/>
    <x v="4"/>
    <x v="2"/>
    <x v="9"/>
    <x v="4"/>
    <n v="3"/>
    <n v="1575"/>
    <n v="4725"/>
  </r>
  <r>
    <x v="3"/>
    <x v="5"/>
    <x v="2"/>
    <x v="9"/>
    <x v="4"/>
    <n v="10"/>
    <n v="790"/>
    <n v="7900"/>
  </r>
  <r>
    <x v="4"/>
    <x v="0"/>
    <x v="0"/>
    <x v="0"/>
    <x v="0"/>
    <n v="5"/>
    <n v="2001"/>
    <n v="10005"/>
  </r>
  <r>
    <x v="4"/>
    <x v="1"/>
    <x v="1"/>
    <x v="1"/>
    <x v="0"/>
    <n v="48"/>
    <n v="75"/>
    <n v="3600"/>
  </r>
  <r>
    <x v="4"/>
    <x v="2"/>
    <x v="1"/>
    <x v="1"/>
    <x v="0"/>
    <n v="12"/>
    <n v="315"/>
    <n v="3780"/>
  </r>
  <r>
    <x v="4"/>
    <x v="3"/>
    <x v="0"/>
    <x v="0"/>
    <x v="0"/>
    <n v="2"/>
    <n v="1080"/>
    <n v="2160"/>
  </r>
  <r>
    <x v="4"/>
    <x v="4"/>
    <x v="2"/>
    <x v="0"/>
    <x v="0"/>
    <n v="6"/>
    <n v="1575"/>
    <n v="9450"/>
  </r>
  <r>
    <x v="4"/>
    <x v="5"/>
    <x v="2"/>
    <x v="0"/>
    <x v="0"/>
    <n v="6"/>
    <n v="790"/>
    <n v="4740"/>
  </r>
  <r>
    <x v="4"/>
    <x v="0"/>
    <x v="0"/>
    <x v="2"/>
    <x v="1"/>
    <n v="6"/>
    <n v="2001"/>
    <n v="12006"/>
  </r>
  <r>
    <x v="4"/>
    <x v="1"/>
    <x v="1"/>
    <x v="3"/>
    <x v="1"/>
    <n v="90"/>
    <n v="75"/>
    <n v="6750"/>
  </r>
  <r>
    <x v="4"/>
    <x v="2"/>
    <x v="1"/>
    <x v="3"/>
    <x v="1"/>
    <n v="15"/>
    <n v="315"/>
    <n v="4725"/>
  </r>
  <r>
    <x v="4"/>
    <x v="3"/>
    <x v="0"/>
    <x v="2"/>
    <x v="1"/>
    <n v="4"/>
    <n v="1080"/>
    <n v="4320"/>
  </r>
  <r>
    <x v="4"/>
    <x v="4"/>
    <x v="2"/>
    <x v="3"/>
    <x v="1"/>
    <n v="4"/>
    <n v="1575"/>
    <n v="6300"/>
  </r>
  <r>
    <x v="4"/>
    <x v="5"/>
    <x v="2"/>
    <x v="2"/>
    <x v="1"/>
    <n v="11"/>
    <n v="790"/>
    <n v="8690"/>
  </r>
  <r>
    <x v="4"/>
    <x v="0"/>
    <x v="0"/>
    <x v="4"/>
    <x v="2"/>
    <n v="4"/>
    <n v="2001"/>
    <n v="8004"/>
  </r>
  <r>
    <x v="4"/>
    <x v="1"/>
    <x v="1"/>
    <x v="5"/>
    <x v="2"/>
    <n v="35"/>
    <n v="75"/>
    <n v="2625"/>
  </r>
  <r>
    <x v="4"/>
    <x v="2"/>
    <x v="1"/>
    <x v="5"/>
    <x v="2"/>
    <n v="11"/>
    <n v="315"/>
    <n v="3465"/>
  </r>
  <r>
    <x v="4"/>
    <x v="3"/>
    <x v="0"/>
    <x v="4"/>
    <x v="2"/>
    <n v="4"/>
    <n v="1080"/>
    <n v="4320"/>
  </r>
  <r>
    <x v="4"/>
    <x v="4"/>
    <x v="2"/>
    <x v="5"/>
    <x v="2"/>
    <n v="5"/>
    <n v="1575"/>
    <n v="7875"/>
  </r>
  <r>
    <x v="4"/>
    <x v="5"/>
    <x v="2"/>
    <x v="5"/>
    <x v="2"/>
    <n v="6"/>
    <n v="790"/>
    <n v="4740"/>
  </r>
  <r>
    <x v="4"/>
    <x v="0"/>
    <x v="0"/>
    <x v="6"/>
    <x v="3"/>
    <n v="5"/>
    <n v="2001"/>
    <n v="10005"/>
  </r>
  <r>
    <x v="4"/>
    <x v="1"/>
    <x v="1"/>
    <x v="6"/>
    <x v="3"/>
    <n v="59"/>
    <n v="75"/>
    <n v="4425"/>
  </r>
  <r>
    <x v="4"/>
    <x v="2"/>
    <x v="1"/>
    <x v="6"/>
    <x v="3"/>
    <n v="5"/>
    <n v="315"/>
    <n v="1575"/>
  </r>
  <r>
    <x v="4"/>
    <x v="3"/>
    <x v="0"/>
    <x v="6"/>
    <x v="3"/>
    <n v="5"/>
    <n v="1080"/>
    <n v="5400"/>
  </r>
  <r>
    <x v="4"/>
    <x v="4"/>
    <x v="2"/>
    <x v="7"/>
    <x v="3"/>
    <n v="3"/>
    <n v="1575"/>
    <n v="4725"/>
  </r>
  <r>
    <x v="4"/>
    <x v="5"/>
    <x v="2"/>
    <x v="7"/>
    <x v="3"/>
    <n v="10"/>
    <n v="790"/>
    <n v="7900"/>
  </r>
  <r>
    <x v="4"/>
    <x v="0"/>
    <x v="0"/>
    <x v="8"/>
    <x v="4"/>
    <n v="6"/>
    <n v="2001"/>
    <n v="12006"/>
  </r>
  <r>
    <x v="4"/>
    <x v="1"/>
    <x v="1"/>
    <x v="9"/>
    <x v="4"/>
    <n v="32"/>
    <n v="75"/>
    <n v="2400"/>
  </r>
  <r>
    <x v="4"/>
    <x v="2"/>
    <x v="1"/>
    <x v="9"/>
    <x v="4"/>
    <n v="9"/>
    <n v="315"/>
    <n v="2835"/>
  </r>
  <r>
    <x v="4"/>
    <x v="3"/>
    <x v="0"/>
    <x v="8"/>
    <x v="4"/>
    <n v="3"/>
    <n v="1080"/>
    <n v="3240"/>
  </r>
  <r>
    <x v="4"/>
    <x v="4"/>
    <x v="2"/>
    <x v="9"/>
    <x v="4"/>
    <n v="6"/>
    <n v="1575"/>
    <n v="9450"/>
  </r>
  <r>
    <x v="4"/>
    <x v="5"/>
    <x v="2"/>
    <x v="9"/>
    <x v="4"/>
    <n v="10"/>
    <n v="790"/>
    <n v="7900"/>
  </r>
  <r>
    <x v="5"/>
    <x v="0"/>
    <x v="0"/>
    <x v="0"/>
    <x v="0"/>
    <n v="3"/>
    <n v="2001"/>
    <n v="6003"/>
  </r>
  <r>
    <x v="5"/>
    <x v="1"/>
    <x v="1"/>
    <x v="1"/>
    <x v="0"/>
    <n v="39"/>
    <n v="75"/>
    <n v="2925"/>
  </r>
  <r>
    <x v="5"/>
    <x v="2"/>
    <x v="1"/>
    <x v="1"/>
    <x v="0"/>
    <n v="12"/>
    <n v="315"/>
    <n v="3780"/>
  </r>
  <r>
    <x v="5"/>
    <x v="3"/>
    <x v="0"/>
    <x v="0"/>
    <x v="0"/>
    <n v="4"/>
    <n v="1080"/>
    <n v="4320"/>
  </r>
  <r>
    <x v="5"/>
    <x v="4"/>
    <x v="2"/>
    <x v="0"/>
    <x v="0"/>
    <n v="5"/>
    <n v="1575"/>
    <n v="7875"/>
  </r>
  <r>
    <x v="5"/>
    <x v="5"/>
    <x v="2"/>
    <x v="0"/>
    <x v="0"/>
    <n v="10"/>
    <n v="790"/>
    <n v="7900"/>
  </r>
  <r>
    <x v="5"/>
    <x v="0"/>
    <x v="0"/>
    <x v="2"/>
    <x v="1"/>
    <n v="4"/>
    <n v="2001"/>
    <n v="8004"/>
  </r>
  <r>
    <x v="5"/>
    <x v="1"/>
    <x v="1"/>
    <x v="3"/>
    <x v="1"/>
    <n v="62"/>
    <n v="75"/>
    <n v="4650"/>
  </r>
  <r>
    <x v="5"/>
    <x v="2"/>
    <x v="1"/>
    <x v="3"/>
    <x v="1"/>
    <n v="15"/>
    <n v="315"/>
    <n v="4725"/>
  </r>
  <r>
    <x v="5"/>
    <x v="3"/>
    <x v="0"/>
    <x v="2"/>
    <x v="1"/>
    <n v="5"/>
    <n v="1080"/>
    <n v="5400"/>
  </r>
  <r>
    <x v="5"/>
    <x v="4"/>
    <x v="2"/>
    <x v="2"/>
    <x v="1"/>
    <n v="5"/>
    <n v="1575"/>
    <n v="7875"/>
  </r>
  <r>
    <x v="5"/>
    <x v="5"/>
    <x v="2"/>
    <x v="2"/>
    <x v="1"/>
    <n v="11"/>
    <n v="790"/>
    <n v="8690"/>
  </r>
  <r>
    <x v="5"/>
    <x v="0"/>
    <x v="0"/>
    <x v="4"/>
    <x v="2"/>
    <n v="2"/>
    <n v="2001"/>
    <n v="4002"/>
  </r>
  <r>
    <x v="5"/>
    <x v="1"/>
    <x v="1"/>
    <x v="5"/>
    <x v="2"/>
    <n v="35"/>
    <n v="75"/>
    <n v="2625"/>
  </r>
  <r>
    <x v="5"/>
    <x v="2"/>
    <x v="1"/>
    <x v="5"/>
    <x v="2"/>
    <n v="5"/>
    <n v="315"/>
    <n v="1575"/>
  </r>
  <r>
    <x v="5"/>
    <x v="3"/>
    <x v="0"/>
    <x v="4"/>
    <x v="2"/>
    <n v="2"/>
    <n v="1080"/>
    <n v="2160"/>
  </r>
  <r>
    <x v="5"/>
    <x v="4"/>
    <x v="2"/>
    <x v="5"/>
    <x v="2"/>
    <n v="2"/>
    <n v="1575"/>
    <n v="3150"/>
  </r>
  <r>
    <x v="5"/>
    <x v="5"/>
    <x v="2"/>
    <x v="5"/>
    <x v="2"/>
    <n v="5"/>
    <n v="790"/>
    <n v="3950"/>
  </r>
  <r>
    <x v="5"/>
    <x v="0"/>
    <x v="0"/>
    <x v="6"/>
    <x v="3"/>
    <n v="4"/>
    <n v="2001"/>
    <n v="8004"/>
  </r>
  <r>
    <x v="5"/>
    <x v="1"/>
    <x v="1"/>
    <x v="6"/>
    <x v="3"/>
    <n v="55"/>
    <n v="75"/>
    <n v="4125"/>
  </r>
  <r>
    <x v="5"/>
    <x v="2"/>
    <x v="1"/>
    <x v="6"/>
    <x v="3"/>
    <n v="14"/>
    <n v="315"/>
    <n v="4410"/>
  </r>
  <r>
    <x v="5"/>
    <x v="3"/>
    <x v="0"/>
    <x v="6"/>
    <x v="3"/>
    <n v="6"/>
    <n v="1080"/>
    <n v="6480"/>
  </r>
  <r>
    <x v="5"/>
    <x v="4"/>
    <x v="2"/>
    <x v="7"/>
    <x v="3"/>
    <n v="5"/>
    <n v="1575"/>
    <n v="7875"/>
  </r>
  <r>
    <x v="5"/>
    <x v="5"/>
    <x v="2"/>
    <x v="7"/>
    <x v="3"/>
    <n v="8"/>
    <n v="790"/>
    <n v="6320"/>
  </r>
  <r>
    <x v="5"/>
    <x v="0"/>
    <x v="0"/>
    <x v="8"/>
    <x v="4"/>
    <n v="5"/>
    <n v="2001"/>
    <n v="10005"/>
  </r>
  <r>
    <x v="5"/>
    <x v="1"/>
    <x v="1"/>
    <x v="9"/>
    <x v="4"/>
    <n v="31"/>
    <n v="75"/>
    <n v="2325"/>
  </r>
  <r>
    <x v="5"/>
    <x v="2"/>
    <x v="1"/>
    <x v="9"/>
    <x v="4"/>
    <n v="8"/>
    <n v="315"/>
    <n v="2520"/>
  </r>
  <r>
    <x v="5"/>
    <x v="3"/>
    <x v="0"/>
    <x v="8"/>
    <x v="4"/>
    <n v="2"/>
    <n v="1080"/>
    <n v="2160"/>
  </r>
  <r>
    <x v="5"/>
    <x v="4"/>
    <x v="2"/>
    <x v="9"/>
    <x v="4"/>
    <n v="2"/>
    <n v="1575"/>
    <n v="3150"/>
  </r>
  <r>
    <x v="5"/>
    <x v="5"/>
    <x v="2"/>
    <x v="9"/>
    <x v="4"/>
    <n v="5"/>
    <n v="790"/>
    <n v="3950"/>
  </r>
  <r>
    <x v="6"/>
    <x v="0"/>
    <x v="0"/>
    <x v="0"/>
    <x v="0"/>
    <n v="6"/>
    <n v="2001"/>
    <n v="12006"/>
  </r>
  <r>
    <x v="6"/>
    <x v="1"/>
    <x v="1"/>
    <x v="1"/>
    <x v="0"/>
    <n v="37"/>
    <n v="75"/>
    <n v="2775"/>
  </r>
  <r>
    <x v="6"/>
    <x v="2"/>
    <x v="1"/>
    <x v="1"/>
    <x v="0"/>
    <n v="12"/>
    <n v="315"/>
    <n v="3780"/>
  </r>
  <r>
    <x v="6"/>
    <x v="3"/>
    <x v="0"/>
    <x v="0"/>
    <x v="0"/>
    <n v="4"/>
    <n v="1080"/>
    <n v="4320"/>
  </r>
  <r>
    <x v="6"/>
    <x v="4"/>
    <x v="2"/>
    <x v="0"/>
    <x v="0"/>
    <n v="6"/>
    <n v="1575"/>
    <n v="9450"/>
  </r>
  <r>
    <x v="6"/>
    <x v="5"/>
    <x v="2"/>
    <x v="0"/>
    <x v="0"/>
    <n v="6"/>
    <n v="790"/>
    <n v="4740"/>
  </r>
  <r>
    <x v="6"/>
    <x v="0"/>
    <x v="0"/>
    <x v="2"/>
    <x v="1"/>
    <n v="3"/>
    <n v="2001"/>
    <n v="6003"/>
  </r>
  <r>
    <x v="6"/>
    <x v="1"/>
    <x v="1"/>
    <x v="3"/>
    <x v="1"/>
    <n v="70"/>
    <n v="75"/>
    <n v="5250"/>
  </r>
  <r>
    <x v="6"/>
    <x v="2"/>
    <x v="1"/>
    <x v="3"/>
    <x v="1"/>
    <n v="15"/>
    <n v="315"/>
    <n v="4725"/>
  </r>
  <r>
    <x v="6"/>
    <x v="3"/>
    <x v="0"/>
    <x v="2"/>
    <x v="1"/>
    <n v="6"/>
    <n v="1080"/>
    <n v="6480"/>
  </r>
  <r>
    <x v="6"/>
    <x v="4"/>
    <x v="2"/>
    <x v="2"/>
    <x v="1"/>
    <n v="6"/>
    <n v="1575"/>
    <n v="9450"/>
  </r>
  <r>
    <x v="6"/>
    <x v="5"/>
    <x v="2"/>
    <x v="2"/>
    <x v="1"/>
    <n v="10"/>
    <n v="790"/>
    <n v="7900"/>
  </r>
  <r>
    <x v="6"/>
    <x v="0"/>
    <x v="0"/>
    <x v="4"/>
    <x v="2"/>
    <n v="2"/>
    <n v="2001"/>
    <n v="4002"/>
  </r>
  <r>
    <x v="6"/>
    <x v="1"/>
    <x v="1"/>
    <x v="5"/>
    <x v="2"/>
    <n v="41"/>
    <n v="75"/>
    <n v="3075"/>
  </r>
  <r>
    <x v="6"/>
    <x v="2"/>
    <x v="1"/>
    <x v="5"/>
    <x v="2"/>
    <n v="4"/>
    <n v="315"/>
    <n v="1260"/>
  </r>
  <r>
    <x v="6"/>
    <x v="3"/>
    <x v="0"/>
    <x v="4"/>
    <x v="2"/>
    <n v="2"/>
    <n v="1080"/>
    <n v="2160"/>
  </r>
  <r>
    <x v="6"/>
    <x v="4"/>
    <x v="2"/>
    <x v="5"/>
    <x v="2"/>
    <n v="2"/>
    <n v="1575"/>
    <n v="3150"/>
  </r>
  <r>
    <x v="6"/>
    <x v="5"/>
    <x v="2"/>
    <x v="5"/>
    <x v="2"/>
    <n v="6"/>
    <n v="790"/>
    <n v="4740"/>
  </r>
  <r>
    <x v="6"/>
    <x v="0"/>
    <x v="0"/>
    <x v="6"/>
    <x v="3"/>
    <n v="4"/>
    <n v="2001"/>
    <n v="8004"/>
  </r>
  <r>
    <x v="6"/>
    <x v="1"/>
    <x v="1"/>
    <x v="7"/>
    <x v="3"/>
    <n v="49"/>
    <n v="75"/>
    <n v="3675"/>
  </r>
  <r>
    <x v="6"/>
    <x v="2"/>
    <x v="1"/>
    <x v="7"/>
    <x v="3"/>
    <n v="13"/>
    <n v="315"/>
    <n v="4095"/>
  </r>
  <r>
    <x v="6"/>
    <x v="3"/>
    <x v="0"/>
    <x v="6"/>
    <x v="3"/>
    <n v="4"/>
    <n v="1080"/>
    <n v="4320"/>
  </r>
  <r>
    <x v="6"/>
    <x v="4"/>
    <x v="2"/>
    <x v="7"/>
    <x v="3"/>
    <n v="3"/>
    <n v="1575"/>
    <n v="4725"/>
  </r>
  <r>
    <x v="6"/>
    <x v="5"/>
    <x v="2"/>
    <x v="7"/>
    <x v="3"/>
    <n v="6"/>
    <n v="790"/>
    <n v="4740"/>
  </r>
  <r>
    <x v="6"/>
    <x v="0"/>
    <x v="0"/>
    <x v="8"/>
    <x v="4"/>
    <n v="6"/>
    <n v="2001"/>
    <n v="12006"/>
  </r>
  <r>
    <x v="6"/>
    <x v="1"/>
    <x v="1"/>
    <x v="9"/>
    <x v="4"/>
    <n v="58"/>
    <n v="75"/>
    <n v="4350"/>
  </r>
  <r>
    <x v="6"/>
    <x v="2"/>
    <x v="1"/>
    <x v="9"/>
    <x v="4"/>
    <n v="13"/>
    <n v="315"/>
    <n v="4095"/>
  </r>
  <r>
    <x v="6"/>
    <x v="3"/>
    <x v="0"/>
    <x v="8"/>
    <x v="4"/>
    <n v="2"/>
    <n v="1080"/>
    <n v="2160"/>
  </r>
  <r>
    <x v="6"/>
    <x v="4"/>
    <x v="2"/>
    <x v="9"/>
    <x v="4"/>
    <n v="2"/>
    <n v="1575"/>
    <n v="3150"/>
  </r>
  <r>
    <x v="6"/>
    <x v="5"/>
    <x v="2"/>
    <x v="9"/>
    <x v="4"/>
    <n v="11"/>
    <n v="790"/>
    <n v="8690"/>
  </r>
  <r>
    <x v="7"/>
    <x v="0"/>
    <x v="0"/>
    <x v="0"/>
    <x v="0"/>
    <n v="4"/>
    <n v="2001"/>
    <n v="8004"/>
  </r>
  <r>
    <x v="7"/>
    <x v="1"/>
    <x v="1"/>
    <x v="1"/>
    <x v="0"/>
    <n v="31"/>
    <n v="75"/>
    <n v="2325"/>
  </r>
  <r>
    <x v="7"/>
    <x v="2"/>
    <x v="1"/>
    <x v="1"/>
    <x v="0"/>
    <n v="9"/>
    <n v="315"/>
    <n v="2835"/>
  </r>
  <r>
    <x v="7"/>
    <x v="3"/>
    <x v="0"/>
    <x v="0"/>
    <x v="0"/>
    <n v="2"/>
    <n v="1080"/>
    <n v="2160"/>
  </r>
  <r>
    <x v="7"/>
    <x v="4"/>
    <x v="2"/>
    <x v="0"/>
    <x v="0"/>
    <n v="5"/>
    <n v="1575"/>
    <n v="7875"/>
  </r>
  <r>
    <x v="7"/>
    <x v="5"/>
    <x v="2"/>
    <x v="0"/>
    <x v="0"/>
    <n v="9"/>
    <n v="790"/>
    <n v="7110"/>
  </r>
  <r>
    <x v="7"/>
    <x v="0"/>
    <x v="0"/>
    <x v="2"/>
    <x v="1"/>
    <n v="3"/>
    <n v="2001"/>
    <n v="6003"/>
  </r>
  <r>
    <x v="7"/>
    <x v="1"/>
    <x v="1"/>
    <x v="3"/>
    <x v="1"/>
    <n v="56"/>
    <n v="75"/>
    <n v="4200"/>
  </r>
  <r>
    <x v="7"/>
    <x v="2"/>
    <x v="1"/>
    <x v="3"/>
    <x v="1"/>
    <n v="15"/>
    <n v="315"/>
    <n v="4725"/>
  </r>
  <r>
    <x v="7"/>
    <x v="3"/>
    <x v="0"/>
    <x v="2"/>
    <x v="1"/>
    <n v="4"/>
    <n v="1080"/>
    <n v="4320"/>
  </r>
  <r>
    <x v="7"/>
    <x v="4"/>
    <x v="2"/>
    <x v="2"/>
    <x v="1"/>
    <n v="3"/>
    <n v="1575"/>
    <n v="4725"/>
  </r>
  <r>
    <x v="7"/>
    <x v="5"/>
    <x v="2"/>
    <x v="2"/>
    <x v="1"/>
    <n v="10"/>
    <n v="790"/>
    <n v="7900"/>
  </r>
  <r>
    <x v="7"/>
    <x v="0"/>
    <x v="0"/>
    <x v="4"/>
    <x v="2"/>
    <n v="5"/>
    <n v="2001"/>
    <n v="10005"/>
  </r>
  <r>
    <x v="7"/>
    <x v="1"/>
    <x v="1"/>
    <x v="5"/>
    <x v="2"/>
    <n v="34"/>
    <n v="75"/>
    <n v="2550"/>
  </r>
  <r>
    <x v="7"/>
    <x v="2"/>
    <x v="1"/>
    <x v="5"/>
    <x v="2"/>
    <n v="10"/>
    <n v="315"/>
    <n v="3150"/>
  </r>
  <r>
    <x v="7"/>
    <x v="3"/>
    <x v="0"/>
    <x v="4"/>
    <x v="2"/>
    <n v="1"/>
    <n v="1080"/>
    <n v="1080"/>
  </r>
  <r>
    <x v="7"/>
    <x v="4"/>
    <x v="2"/>
    <x v="5"/>
    <x v="2"/>
    <n v="5"/>
    <n v="1575"/>
    <n v="7875"/>
  </r>
  <r>
    <x v="7"/>
    <x v="5"/>
    <x v="2"/>
    <x v="5"/>
    <x v="2"/>
    <n v="6"/>
    <n v="790"/>
    <n v="4740"/>
  </r>
  <r>
    <x v="7"/>
    <x v="0"/>
    <x v="0"/>
    <x v="6"/>
    <x v="3"/>
    <n v="4"/>
    <n v="2001"/>
    <n v="8004"/>
  </r>
  <r>
    <x v="7"/>
    <x v="1"/>
    <x v="1"/>
    <x v="7"/>
    <x v="3"/>
    <n v="49"/>
    <n v="75"/>
    <n v="3675"/>
  </r>
  <r>
    <x v="7"/>
    <x v="2"/>
    <x v="1"/>
    <x v="7"/>
    <x v="3"/>
    <n v="10"/>
    <n v="315"/>
    <n v="3150"/>
  </r>
  <r>
    <x v="7"/>
    <x v="3"/>
    <x v="0"/>
    <x v="6"/>
    <x v="3"/>
    <n v="6"/>
    <n v="1080"/>
    <n v="6480"/>
  </r>
  <r>
    <x v="7"/>
    <x v="4"/>
    <x v="2"/>
    <x v="7"/>
    <x v="3"/>
    <n v="5"/>
    <n v="1575"/>
    <n v="7875"/>
  </r>
  <r>
    <x v="7"/>
    <x v="5"/>
    <x v="2"/>
    <x v="7"/>
    <x v="3"/>
    <n v="8"/>
    <n v="790"/>
    <n v="6320"/>
  </r>
  <r>
    <x v="7"/>
    <x v="0"/>
    <x v="0"/>
    <x v="8"/>
    <x v="4"/>
    <n v="5"/>
    <n v="2001"/>
    <n v="10005"/>
  </r>
  <r>
    <x v="7"/>
    <x v="1"/>
    <x v="1"/>
    <x v="9"/>
    <x v="4"/>
    <n v="45"/>
    <n v="75"/>
    <n v="3375"/>
  </r>
  <r>
    <x v="7"/>
    <x v="2"/>
    <x v="1"/>
    <x v="9"/>
    <x v="4"/>
    <n v="11"/>
    <n v="315"/>
    <n v="3465"/>
  </r>
  <r>
    <x v="7"/>
    <x v="3"/>
    <x v="0"/>
    <x v="8"/>
    <x v="4"/>
    <n v="6"/>
    <n v="1080"/>
    <n v="6480"/>
  </r>
  <r>
    <x v="7"/>
    <x v="4"/>
    <x v="2"/>
    <x v="9"/>
    <x v="4"/>
    <n v="2"/>
    <n v="1575"/>
    <n v="3150"/>
  </r>
  <r>
    <x v="7"/>
    <x v="5"/>
    <x v="2"/>
    <x v="9"/>
    <x v="4"/>
    <n v="7"/>
    <n v="790"/>
    <n v="5530"/>
  </r>
  <r>
    <x v="8"/>
    <x v="0"/>
    <x v="0"/>
    <x v="0"/>
    <x v="0"/>
    <n v="3"/>
    <n v="2001"/>
    <n v="6003"/>
  </r>
  <r>
    <x v="8"/>
    <x v="1"/>
    <x v="1"/>
    <x v="1"/>
    <x v="0"/>
    <n v="57"/>
    <n v="75"/>
    <n v="4275"/>
  </r>
  <r>
    <x v="8"/>
    <x v="2"/>
    <x v="1"/>
    <x v="1"/>
    <x v="0"/>
    <n v="11"/>
    <n v="315"/>
    <n v="3465"/>
  </r>
  <r>
    <x v="8"/>
    <x v="3"/>
    <x v="0"/>
    <x v="0"/>
    <x v="0"/>
    <n v="5"/>
    <n v="1080"/>
    <n v="5400"/>
  </r>
  <r>
    <x v="8"/>
    <x v="4"/>
    <x v="2"/>
    <x v="0"/>
    <x v="0"/>
    <n v="4"/>
    <n v="1575"/>
    <n v="6300"/>
  </r>
  <r>
    <x v="8"/>
    <x v="5"/>
    <x v="2"/>
    <x v="0"/>
    <x v="0"/>
    <n v="9"/>
    <n v="790"/>
    <n v="7110"/>
  </r>
  <r>
    <x v="8"/>
    <x v="0"/>
    <x v="0"/>
    <x v="2"/>
    <x v="1"/>
    <n v="6"/>
    <n v="2001"/>
    <n v="12006"/>
  </r>
  <r>
    <x v="8"/>
    <x v="1"/>
    <x v="1"/>
    <x v="3"/>
    <x v="1"/>
    <n v="71"/>
    <n v="75"/>
    <n v="5325"/>
  </r>
  <r>
    <x v="8"/>
    <x v="2"/>
    <x v="1"/>
    <x v="3"/>
    <x v="1"/>
    <n v="16"/>
    <n v="315"/>
    <n v="5040"/>
  </r>
  <r>
    <x v="8"/>
    <x v="3"/>
    <x v="0"/>
    <x v="2"/>
    <x v="1"/>
    <n v="4"/>
    <n v="1080"/>
    <n v="4320"/>
  </r>
  <r>
    <x v="8"/>
    <x v="4"/>
    <x v="2"/>
    <x v="2"/>
    <x v="1"/>
    <n v="2"/>
    <n v="1575"/>
    <n v="3150"/>
  </r>
  <r>
    <x v="8"/>
    <x v="5"/>
    <x v="2"/>
    <x v="2"/>
    <x v="1"/>
    <n v="6"/>
    <n v="790"/>
    <n v="4740"/>
  </r>
  <r>
    <x v="8"/>
    <x v="0"/>
    <x v="0"/>
    <x v="4"/>
    <x v="2"/>
    <n v="3"/>
    <n v="2001"/>
    <n v="6003"/>
  </r>
  <r>
    <x v="8"/>
    <x v="1"/>
    <x v="1"/>
    <x v="5"/>
    <x v="2"/>
    <n v="35"/>
    <n v="75"/>
    <n v="2625"/>
  </r>
  <r>
    <x v="8"/>
    <x v="2"/>
    <x v="1"/>
    <x v="5"/>
    <x v="2"/>
    <n v="5"/>
    <n v="315"/>
    <n v="1575"/>
  </r>
  <r>
    <x v="8"/>
    <x v="3"/>
    <x v="0"/>
    <x v="4"/>
    <x v="2"/>
    <n v="1"/>
    <n v="1080"/>
    <n v="1080"/>
  </r>
  <r>
    <x v="8"/>
    <x v="4"/>
    <x v="2"/>
    <x v="5"/>
    <x v="2"/>
    <n v="2"/>
    <n v="1575"/>
    <n v="3150"/>
  </r>
  <r>
    <x v="8"/>
    <x v="5"/>
    <x v="2"/>
    <x v="5"/>
    <x v="2"/>
    <n v="5"/>
    <n v="790"/>
    <n v="3950"/>
  </r>
  <r>
    <x v="8"/>
    <x v="0"/>
    <x v="0"/>
    <x v="6"/>
    <x v="3"/>
    <n v="3"/>
    <n v="2001"/>
    <n v="6003"/>
  </r>
  <r>
    <x v="8"/>
    <x v="1"/>
    <x v="1"/>
    <x v="7"/>
    <x v="3"/>
    <n v="33"/>
    <n v="75"/>
    <n v="2475"/>
  </r>
  <r>
    <x v="8"/>
    <x v="2"/>
    <x v="1"/>
    <x v="7"/>
    <x v="3"/>
    <n v="15"/>
    <n v="315"/>
    <n v="4725"/>
  </r>
  <r>
    <x v="8"/>
    <x v="3"/>
    <x v="0"/>
    <x v="6"/>
    <x v="3"/>
    <n v="5"/>
    <n v="1080"/>
    <n v="5400"/>
  </r>
  <r>
    <x v="8"/>
    <x v="4"/>
    <x v="2"/>
    <x v="7"/>
    <x v="3"/>
    <n v="4"/>
    <n v="1575"/>
    <n v="6300"/>
  </r>
  <r>
    <x v="8"/>
    <x v="5"/>
    <x v="2"/>
    <x v="7"/>
    <x v="3"/>
    <n v="10"/>
    <n v="790"/>
    <n v="7900"/>
  </r>
  <r>
    <x v="8"/>
    <x v="0"/>
    <x v="0"/>
    <x v="8"/>
    <x v="4"/>
    <n v="4"/>
    <n v="2001"/>
    <n v="8004"/>
  </r>
  <r>
    <x v="8"/>
    <x v="1"/>
    <x v="1"/>
    <x v="9"/>
    <x v="4"/>
    <n v="40"/>
    <n v="75"/>
    <n v="3000"/>
  </r>
  <r>
    <x v="8"/>
    <x v="2"/>
    <x v="1"/>
    <x v="9"/>
    <x v="4"/>
    <n v="15"/>
    <n v="315"/>
    <n v="4725"/>
  </r>
  <r>
    <x v="8"/>
    <x v="3"/>
    <x v="0"/>
    <x v="8"/>
    <x v="4"/>
    <n v="2"/>
    <n v="1080"/>
    <n v="2160"/>
  </r>
  <r>
    <x v="8"/>
    <x v="4"/>
    <x v="2"/>
    <x v="9"/>
    <x v="4"/>
    <n v="4"/>
    <n v="1575"/>
    <n v="6300"/>
  </r>
  <r>
    <x v="8"/>
    <x v="5"/>
    <x v="2"/>
    <x v="9"/>
    <x v="4"/>
    <n v="9"/>
    <n v="790"/>
    <n v="7110"/>
  </r>
  <r>
    <x v="9"/>
    <x v="0"/>
    <x v="0"/>
    <x v="0"/>
    <x v="0"/>
    <n v="6"/>
    <n v="2001"/>
    <n v="12006"/>
  </r>
  <r>
    <x v="9"/>
    <x v="1"/>
    <x v="1"/>
    <x v="1"/>
    <x v="0"/>
    <n v="60"/>
    <n v="75"/>
    <n v="4500"/>
  </r>
  <r>
    <x v="9"/>
    <x v="2"/>
    <x v="1"/>
    <x v="1"/>
    <x v="0"/>
    <n v="12"/>
    <n v="315"/>
    <n v="3780"/>
  </r>
  <r>
    <x v="9"/>
    <x v="3"/>
    <x v="0"/>
    <x v="0"/>
    <x v="0"/>
    <n v="4"/>
    <n v="1080"/>
    <n v="4320"/>
  </r>
  <r>
    <x v="9"/>
    <x v="4"/>
    <x v="2"/>
    <x v="0"/>
    <x v="0"/>
    <n v="2"/>
    <n v="1575"/>
    <n v="3150"/>
  </r>
  <r>
    <x v="9"/>
    <x v="5"/>
    <x v="2"/>
    <x v="0"/>
    <x v="0"/>
    <n v="7"/>
    <n v="790"/>
    <n v="5530"/>
  </r>
  <r>
    <x v="9"/>
    <x v="0"/>
    <x v="0"/>
    <x v="2"/>
    <x v="1"/>
    <n v="6"/>
    <n v="2001"/>
    <n v="12006"/>
  </r>
  <r>
    <x v="9"/>
    <x v="1"/>
    <x v="1"/>
    <x v="3"/>
    <x v="1"/>
    <n v="55"/>
    <n v="75"/>
    <n v="4125"/>
  </r>
  <r>
    <x v="9"/>
    <x v="2"/>
    <x v="1"/>
    <x v="3"/>
    <x v="1"/>
    <n v="9"/>
    <n v="315"/>
    <n v="2835"/>
  </r>
  <r>
    <x v="9"/>
    <x v="3"/>
    <x v="0"/>
    <x v="2"/>
    <x v="1"/>
    <n v="6"/>
    <n v="1080"/>
    <n v="6480"/>
  </r>
  <r>
    <x v="9"/>
    <x v="4"/>
    <x v="2"/>
    <x v="2"/>
    <x v="1"/>
    <n v="5"/>
    <n v="1575"/>
    <n v="7875"/>
  </r>
  <r>
    <x v="9"/>
    <x v="5"/>
    <x v="2"/>
    <x v="2"/>
    <x v="1"/>
    <n v="7"/>
    <n v="790"/>
    <n v="5530"/>
  </r>
  <r>
    <x v="9"/>
    <x v="0"/>
    <x v="0"/>
    <x v="4"/>
    <x v="2"/>
    <n v="1"/>
    <n v="2001"/>
    <n v="2001"/>
  </r>
  <r>
    <x v="9"/>
    <x v="1"/>
    <x v="1"/>
    <x v="5"/>
    <x v="2"/>
    <n v="25"/>
    <n v="75"/>
    <n v="1875"/>
  </r>
  <r>
    <x v="9"/>
    <x v="2"/>
    <x v="1"/>
    <x v="5"/>
    <x v="2"/>
    <n v="5"/>
    <n v="315"/>
    <n v="1575"/>
  </r>
  <r>
    <x v="9"/>
    <x v="3"/>
    <x v="0"/>
    <x v="4"/>
    <x v="2"/>
    <n v="2"/>
    <n v="1080"/>
    <n v="2160"/>
  </r>
  <r>
    <x v="9"/>
    <x v="4"/>
    <x v="2"/>
    <x v="5"/>
    <x v="2"/>
    <n v="1"/>
    <n v="1575"/>
    <n v="1575"/>
  </r>
  <r>
    <x v="9"/>
    <x v="5"/>
    <x v="2"/>
    <x v="5"/>
    <x v="2"/>
    <n v="6"/>
    <n v="790"/>
    <n v="4740"/>
  </r>
  <r>
    <x v="9"/>
    <x v="0"/>
    <x v="0"/>
    <x v="6"/>
    <x v="3"/>
    <n v="5"/>
    <n v="2001"/>
    <n v="10005"/>
  </r>
  <r>
    <x v="9"/>
    <x v="1"/>
    <x v="1"/>
    <x v="7"/>
    <x v="3"/>
    <n v="38"/>
    <n v="75"/>
    <n v="2850"/>
  </r>
  <r>
    <x v="9"/>
    <x v="2"/>
    <x v="1"/>
    <x v="7"/>
    <x v="3"/>
    <n v="9"/>
    <n v="315"/>
    <n v="2835"/>
  </r>
  <r>
    <x v="9"/>
    <x v="3"/>
    <x v="0"/>
    <x v="6"/>
    <x v="3"/>
    <n v="4"/>
    <n v="1080"/>
    <n v="4320"/>
  </r>
  <r>
    <x v="9"/>
    <x v="4"/>
    <x v="2"/>
    <x v="7"/>
    <x v="3"/>
    <n v="5"/>
    <n v="1575"/>
    <n v="7875"/>
  </r>
  <r>
    <x v="9"/>
    <x v="5"/>
    <x v="2"/>
    <x v="7"/>
    <x v="3"/>
    <n v="6"/>
    <n v="790"/>
    <n v="4740"/>
  </r>
  <r>
    <x v="9"/>
    <x v="0"/>
    <x v="0"/>
    <x v="8"/>
    <x v="4"/>
    <n v="4"/>
    <n v="2001"/>
    <n v="8004"/>
  </r>
  <r>
    <x v="9"/>
    <x v="1"/>
    <x v="1"/>
    <x v="9"/>
    <x v="4"/>
    <n v="48"/>
    <n v="75"/>
    <n v="3600"/>
  </r>
  <r>
    <x v="9"/>
    <x v="2"/>
    <x v="1"/>
    <x v="9"/>
    <x v="4"/>
    <n v="8"/>
    <n v="315"/>
    <n v="2520"/>
  </r>
  <r>
    <x v="9"/>
    <x v="3"/>
    <x v="0"/>
    <x v="8"/>
    <x v="4"/>
    <n v="3"/>
    <n v="1080"/>
    <n v="3240"/>
  </r>
  <r>
    <x v="9"/>
    <x v="4"/>
    <x v="2"/>
    <x v="9"/>
    <x v="4"/>
    <n v="4"/>
    <n v="1575"/>
    <n v="6300"/>
  </r>
  <r>
    <x v="9"/>
    <x v="5"/>
    <x v="2"/>
    <x v="9"/>
    <x v="4"/>
    <n v="5"/>
    <n v="790"/>
    <n v="3950"/>
  </r>
  <r>
    <x v="10"/>
    <x v="0"/>
    <x v="0"/>
    <x v="0"/>
    <x v="0"/>
    <n v="3"/>
    <n v="2001"/>
    <n v="6003"/>
  </r>
  <r>
    <x v="10"/>
    <x v="1"/>
    <x v="1"/>
    <x v="1"/>
    <x v="0"/>
    <n v="47"/>
    <n v="75"/>
    <n v="3525"/>
  </r>
  <r>
    <x v="10"/>
    <x v="2"/>
    <x v="1"/>
    <x v="1"/>
    <x v="0"/>
    <n v="15"/>
    <n v="315"/>
    <n v="4725"/>
  </r>
  <r>
    <x v="10"/>
    <x v="3"/>
    <x v="0"/>
    <x v="0"/>
    <x v="0"/>
    <n v="3"/>
    <n v="1080"/>
    <n v="3240"/>
  </r>
  <r>
    <x v="10"/>
    <x v="4"/>
    <x v="2"/>
    <x v="0"/>
    <x v="0"/>
    <n v="5"/>
    <n v="1575"/>
    <n v="7875"/>
  </r>
  <r>
    <x v="10"/>
    <x v="5"/>
    <x v="2"/>
    <x v="0"/>
    <x v="0"/>
    <n v="6"/>
    <n v="790"/>
    <n v="4740"/>
  </r>
  <r>
    <x v="10"/>
    <x v="0"/>
    <x v="0"/>
    <x v="2"/>
    <x v="1"/>
    <n v="4"/>
    <n v="2001"/>
    <n v="8004"/>
  </r>
  <r>
    <x v="10"/>
    <x v="1"/>
    <x v="1"/>
    <x v="3"/>
    <x v="1"/>
    <n v="66"/>
    <n v="75"/>
    <n v="4950"/>
  </r>
  <r>
    <x v="10"/>
    <x v="2"/>
    <x v="1"/>
    <x v="3"/>
    <x v="1"/>
    <n v="10"/>
    <n v="315"/>
    <n v="3150"/>
  </r>
  <r>
    <x v="10"/>
    <x v="3"/>
    <x v="0"/>
    <x v="2"/>
    <x v="1"/>
    <n v="2"/>
    <n v="1080"/>
    <n v="2160"/>
  </r>
  <r>
    <x v="10"/>
    <x v="4"/>
    <x v="2"/>
    <x v="2"/>
    <x v="1"/>
    <n v="6"/>
    <n v="1575"/>
    <n v="9450"/>
  </r>
  <r>
    <x v="10"/>
    <x v="5"/>
    <x v="2"/>
    <x v="3"/>
    <x v="1"/>
    <n v="8"/>
    <n v="790"/>
    <n v="6320"/>
  </r>
  <r>
    <x v="10"/>
    <x v="0"/>
    <x v="0"/>
    <x v="4"/>
    <x v="2"/>
    <n v="4"/>
    <n v="2001"/>
    <n v="8004"/>
  </r>
  <r>
    <x v="10"/>
    <x v="1"/>
    <x v="1"/>
    <x v="5"/>
    <x v="2"/>
    <n v="25"/>
    <n v="75"/>
    <n v="1875"/>
  </r>
  <r>
    <x v="10"/>
    <x v="2"/>
    <x v="1"/>
    <x v="5"/>
    <x v="2"/>
    <n v="4"/>
    <n v="315"/>
    <n v="1260"/>
  </r>
  <r>
    <x v="10"/>
    <x v="3"/>
    <x v="0"/>
    <x v="4"/>
    <x v="2"/>
    <n v="4"/>
    <n v="1080"/>
    <n v="4320"/>
  </r>
  <r>
    <x v="10"/>
    <x v="4"/>
    <x v="2"/>
    <x v="5"/>
    <x v="2"/>
    <n v="1"/>
    <n v="1575"/>
    <n v="1575"/>
  </r>
  <r>
    <x v="10"/>
    <x v="5"/>
    <x v="2"/>
    <x v="5"/>
    <x v="2"/>
    <n v="5"/>
    <n v="790"/>
    <n v="3950"/>
  </r>
  <r>
    <x v="10"/>
    <x v="0"/>
    <x v="0"/>
    <x v="6"/>
    <x v="3"/>
    <n v="5"/>
    <n v="2001"/>
    <n v="10005"/>
  </r>
  <r>
    <x v="10"/>
    <x v="1"/>
    <x v="1"/>
    <x v="7"/>
    <x v="3"/>
    <n v="41"/>
    <n v="75"/>
    <n v="3075"/>
  </r>
  <r>
    <x v="10"/>
    <x v="2"/>
    <x v="1"/>
    <x v="7"/>
    <x v="3"/>
    <n v="9"/>
    <n v="315"/>
    <n v="2835"/>
  </r>
  <r>
    <x v="10"/>
    <x v="3"/>
    <x v="0"/>
    <x v="6"/>
    <x v="3"/>
    <n v="4"/>
    <n v="1080"/>
    <n v="4320"/>
  </r>
  <r>
    <x v="10"/>
    <x v="4"/>
    <x v="2"/>
    <x v="7"/>
    <x v="3"/>
    <n v="6"/>
    <n v="1575"/>
    <n v="9450"/>
  </r>
  <r>
    <x v="10"/>
    <x v="5"/>
    <x v="2"/>
    <x v="7"/>
    <x v="3"/>
    <n v="11"/>
    <n v="790"/>
    <n v="8690"/>
  </r>
  <r>
    <x v="10"/>
    <x v="0"/>
    <x v="0"/>
    <x v="8"/>
    <x v="4"/>
    <n v="4"/>
    <n v="2001"/>
    <n v="8004"/>
  </r>
  <r>
    <x v="10"/>
    <x v="1"/>
    <x v="1"/>
    <x v="9"/>
    <x v="4"/>
    <n v="56"/>
    <n v="75"/>
    <n v="4200"/>
  </r>
  <r>
    <x v="10"/>
    <x v="2"/>
    <x v="1"/>
    <x v="9"/>
    <x v="4"/>
    <n v="10"/>
    <n v="315"/>
    <n v="3150"/>
  </r>
  <r>
    <x v="10"/>
    <x v="3"/>
    <x v="0"/>
    <x v="8"/>
    <x v="4"/>
    <n v="6"/>
    <n v="1080"/>
    <n v="6480"/>
  </r>
  <r>
    <x v="10"/>
    <x v="4"/>
    <x v="2"/>
    <x v="9"/>
    <x v="4"/>
    <n v="5"/>
    <n v="1575"/>
    <n v="7875"/>
  </r>
  <r>
    <x v="10"/>
    <x v="5"/>
    <x v="2"/>
    <x v="9"/>
    <x v="4"/>
    <n v="8"/>
    <n v="790"/>
    <n v="6320"/>
  </r>
  <r>
    <x v="11"/>
    <x v="0"/>
    <x v="0"/>
    <x v="0"/>
    <x v="0"/>
    <n v="6"/>
    <n v="2001"/>
    <n v="12006"/>
  </r>
  <r>
    <x v="11"/>
    <x v="1"/>
    <x v="1"/>
    <x v="1"/>
    <x v="0"/>
    <n v="59"/>
    <n v="75"/>
    <n v="4425"/>
  </r>
  <r>
    <x v="11"/>
    <x v="2"/>
    <x v="1"/>
    <x v="1"/>
    <x v="0"/>
    <n v="12"/>
    <n v="315"/>
    <n v="3780"/>
  </r>
  <r>
    <x v="11"/>
    <x v="3"/>
    <x v="0"/>
    <x v="0"/>
    <x v="0"/>
    <n v="5"/>
    <n v="1080"/>
    <n v="5400"/>
  </r>
  <r>
    <x v="11"/>
    <x v="4"/>
    <x v="2"/>
    <x v="0"/>
    <x v="0"/>
    <n v="3"/>
    <n v="1575"/>
    <n v="4725"/>
  </r>
  <r>
    <x v="11"/>
    <x v="5"/>
    <x v="2"/>
    <x v="0"/>
    <x v="0"/>
    <n v="7"/>
    <n v="790"/>
    <n v="5530"/>
  </r>
  <r>
    <x v="11"/>
    <x v="0"/>
    <x v="0"/>
    <x v="2"/>
    <x v="1"/>
    <n v="3"/>
    <n v="2001"/>
    <n v="6003"/>
  </r>
  <r>
    <x v="11"/>
    <x v="1"/>
    <x v="1"/>
    <x v="3"/>
    <x v="1"/>
    <n v="35"/>
    <n v="75"/>
    <n v="2625"/>
  </r>
  <r>
    <x v="11"/>
    <x v="2"/>
    <x v="1"/>
    <x v="3"/>
    <x v="1"/>
    <n v="12"/>
    <n v="315"/>
    <n v="3780"/>
  </r>
  <r>
    <x v="11"/>
    <x v="3"/>
    <x v="0"/>
    <x v="2"/>
    <x v="1"/>
    <n v="3"/>
    <n v="1080"/>
    <n v="3240"/>
  </r>
  <r>
    <x v="11"/>
    <x v="4"/>
    <x v="2"/>
    <x v="3"/>
    <x v="1"/>
    <n v="5"/>
    <n v="1575"/>
    <n v="7875"/>
  </r>
  <r>
    <x v="11"/>
    <x v="5"/>
    <x v="2"/>
    <x v="3"/>
    <x v="1"/>
    <n v="5"/>
    <n v="790"/>
    <n v="3950"/>
  </r>
  <r>
    <x v="11"/>
    <x v="0"/>
    <x v="0"/>
    <x v="4"/>
    <x v="2"/>
    <n v="2"/>
    <n v="2001"/>
    <n v="4002"/>
  </r>
  <r>
    <x v="11"/>
    <x v="1"/>
    <x v="1"/>
    <x v="5"/>
    <x v="2"/>
    <n v="25"/>
    <n v="75"/>
    <n v="1875"/>
  </r>
  <r>
    <x v="11"/>
    <x v="2"/>
    <x v="1"/>
    <x v="5"/>
    <x v="2"/>
    <n v="9"/>
    <n v="315"/>
    <n v="2835"/>
  </r>
  <r>
    <x v="11"/>
    <x v="3"/>
    <x v="0"/>
    <x v="4"/>
    <x v="2"/>
    <n v="2"/>
    <n v="1080"/>
    <n v="2160"/>
  </r>
  <r>
    <x v="11"/>
    <x v="4"/>
    <x v="2"/>
    <x v="5"/>
    <x v="2"/>
    <n v="6"/>
    <n v="1575"/>
    <n v="9450"/>
  </r>
  <r>
    <x v="11"/>
    <x v="5"/>
    <x v="2"/>
    <x v="5"/>
    <x v="2"/>
    <n v="9"/>
    <n v="790"/>
    <n v="7110"/>
  </r>
  <r>
    <x v="11"/>
    <x v="0"/>
    <x v="0"/>
    <x v="6"/>
    <x v="3"/>
    <n v="4"/>
    <n v="2001"/>
    <n v="8004"/>
  </r>
  <r>
    <x v="11"/>
    <x v="1"/>
    <x v="1"/>
    <x v="7"/>
    <x v="3"/>
    <n v="44"/>
    <n v="75"/>
    <n v="3300"/>
  </r>
  <r>
    <x v="11"/>
    <x v="2"/>
    <x v="1"/>
    <x v="7"/>
    <x v="3"/>
    <n v="6"/>
    <n v="315"/>
    <n v="1890"/>
  </r>
  <r>
    <x v="11"/>
    <x v="3"/>
    <x v="0"/>
    <x v="6"/>
    <x v="3"/>
    <n v="5"/>
    <n v="1080"/>
    <n v="5400"/>
  </r>
  <r>
    <x v="11"/>
    <x v="4"/>
    <x v="2"/>
    <x v="7"/>
    <x v="3"/>
    <n v="3"/>
    <n v="1575"/>
    <n v="4725"/>
  </r>
  <r>
    <x v="11"/>
    <x v="5"/>
    <x v="2"/>
    <x v="7"/>
    <x v="3"/>
    <n v="8"/>
    <n v="790"/>
    <n v="6320"/>
  </r>
  <r>
    <x v="11"/>
    <x v="0"/>
    <x v="0"/>
    <x v="8"/>
    <x v="4"/>
    <n v="4"/>
    <n v="2001"/>
    <n v="8004"/>
  </r>
  <r>
    <x v="11"/>
    <x v="1"/>
    <x v="1"/>
    <x v="9"/>
    <x v="4"/>
    <n v="51"/>
    <n v="75"/>
    <n v="3825"/>
  </r>
  <r>
    <x v="11"/>
    <x v="2"/>
    <x v="1"/>
    <x v="9"/>
    <x v="4"/>
    <n v="10"/>
    <n v="315"/>
    <n v="3150"/>
  </r>
  <r>
    <x v="11"/>
    <x v="3"/>
    <x v="0"/>
    <x v="8"/>
    <x v="4"/>
    <n v="4"/>
    <n v="1080"/>
    <n v="4320"/>
  </r>
  <r>
    <x v="11"/>
    <x v="4"/>
    <x v="2"/>
    <x v="9"/>
    <x v="4"/>
    <n v="5"/>
    <n v="1575"/>
    <n v="7875"/>
  </r>
  <r>
    <x v="11"/>
    <x v="5"/>
    <x v="2"/>
    <x v="9"/>
    <x v="4"/>
    <n v="9"/>
    <n v="790"/>
    <n v="7110"/>
  </r>
  <r>
    <x v="12"/>
    <x v="0"/>
    <x v="0"/>
    <x v="0"/>
    <x v="0"/>
    <n v="6"/>
    <n v="2001"/>
    <n v="12006"/>
  </r>
  <r>
    <x v="12"/>
    <x v="1"/>
    <x v="1"/>
    <x v="1"/>
    <x v="0"/>
    <n v="50"/>
    <n v="75"/>
    <n v="3750"/>
  </r>
  <r>
    <x v="12"/>
    <x v="2"/>
    <x v="1"/>
    <x v="1"/>
    <x v="0"/>
    <n v="6"/>
    <n v="315"/>
    <n v="1890"/>
  </r>
  <r>
    <x v="12"/>
    <x v="3"/>
    <x v="0"/>
    <x v="0"/>
    <x v="0"/>
    <n v="5"/>
    <n v="1080"/>
    <n v="5400"/>
  </r>
  <r>
    <x v="12"/>
    <x v="4"/>
    <x v="2"/>
    <x v="0"/>
    <x v="0"/>
    <n v="4"/>
    <n v="1575"/>
    <n v="6300"/>
  </r>
  <r>
    <x v="12"/>
    <x v="5"/>
    <x v="2"/>
    <x v="0"/>
    <x v="0"/>
    <n v="8"/>
    <n v="790"/>
    <n v="6320"/>
  </r>
  <r>
    <x v="12"/>
    <x v="0"/>
    <x v="0"/>
    <x v="2"/>
    <x v="1"/>
    <n v="6"/>
    <n v="2001"/>
    <n v="12006"/>
  </r>
  <r>
    <x v="12"/>
    <x v="1"/>
    <x v="1"/>
    <x v="3"/>
    <x v="1"/>
    <n v="45"/>
    <n v="75"/>
    <n v="3375"/>
  </r>
  <r>
    <x v="12"/>
    <x v="2"/>
    <x v="1"/>
    <x v="3"/>
    <x v="1"/>
    <n v="15"/>
    <n v="315"/>
    <n v="4725"/>
  </r>
  <r>
    <x v="12"/>
    <x v="3"/>
    <x v="0"/>
    <x v="2"/>
    <x v="1"/>
    <n v="6"/>
    <n v="1080"/>
    <n v="6480"/>
  </r>
  <r>
    <x v="12"/>
    <x v="4"/>
    <x v="2"/>
    <x v="3"/>
    <x v="1"/>
    <n v="2"/>
    <n v="1575"/>
    <n v="3150"/>
  </r>
  <r>
    <x v="12"/>
    <x v="5"/>
    <x v="2"/>
    <x v="3"/>
    <x v="1"/>
    <n v="10"/>
    <n v="790"/>
    <n v="7900"/>
  </r>
  <r>
    <x v="12"/>
    <x v="0"/>
    <x v="0"/>
    <x v="4"/>
    <x v="2"/>
    <n v="6"/>
    <n v="2001"/>
    <n v="12006"/>
  </r>
  <r>
    <x v="12"/>
    <x v="1"/>
    <x v="1"/>
    <x v="5"/>
    <x v="2"/>
    <n v="43"/>
    <n v="75"/>
    <n v="3225"/>
  </r>
  <r>
    <x v="12"/>
    <x v="2"/>
    <x v="1"/>
    <x v="4"/>
    <x v="2"/>
    <n v="6"/>
    <n v="315"/>
    <n v="1890"/>
  </r>
  <r>
    <x v="12"/>
    <x v="3"/>
    <x v="0"/>
    <x v="4"/>
    <x v="2"/>
    <n v="3"/>
    <n v="1080"/>
    <n v="3240"/>
  </r>
  <r>
    <x v="12"/>
    <x v="4"/>
    <x v="2"/>
    <x v="5"/>
    <x v="2"/>
    <n v="3"/>
    <n v="1575"/>
    <n v="4725"/>
  </r>
  <r>
    <x v="12"/>
    <x v="5"/>
    <x v="2"/>
    <x v="5"/>
    <x v="2"/>
    <n v="8"/>
    <n v="790"/>
    <n v="6320"/>
  </r>
  <r>
    <x v="12"/>
    <x v="0"/>
    <x v="0"/>
    <x v="6"/>
    <x v="3"/>
    <n v="3"/>
    <n v="2001"/>
    <n v="6003"/>
  </r>
  <r>
    <x v="12"/>
    <x v="1"/>
    <x v="1"/>
    <x v="6"/>
    <x v="3"/>
    <n v="38"/>
    <n v="75"/>
    <n v="2850"/>
  </r>
  <r>
    <x v="12"/>
    <x v="2"/>
    <x v="1"/>
    <x v="6"/>
    <x v="3"/>
    <n v="12"/>
    <n v="315"/>
    <n v="3780"/>
  </r>
  <r>
    <x v="12"/>
    <x v="3"/>
    <x v="0"/>
    <x v="6"/>
    <x v="3"/>
    <n v="2"/>
    <n v="1080"/>
    <n v="2160"/>
  </r>
  <r>
    <x v="12"/>
    <x v="4"/>
    <x v="2"/>
    <x v="7"/>
    <x v="3"/>
    <n v="6"/>
    <n v="1575"/>
    <n v="9450"/>
  </r>
  <r>
    <x v="12"/>
    <x v="5"/>
    <x v="2"/>
    <x v="7"/>
    <x v="3"/>
    <n v="8"/>
    <n v="790"/>
    <n v="6320"/>
  </r>
  <r>
    <x v="12"/>
    <x v="0"/>
    <x v="0"/>
    <x v="8"/>
    <x v="4"/>
    <n v="6"/>
    <n v="2001"/>
    <n v="12006"/>
  </r>
  <r>
    <x v="12"/>
    <x v="1"/>
    <x v="1"/>
    <x v="9"/>
    <x v="4"/>
    <n v="55"/>
    <n v="75"/>
    <n v="4125"/>
  </r>
  <r>
    <x v="12"/>
    <x v="2"/>
    <x v="1"/>
    <x v="9"/>
    <x v="4"/>
    <n v="13"/>
    <n v="315"/>
    <n v="4095"/>
  </r>
  <r>
    <x v="12"/>
    <x v="3"/>
    <x v="0"/>
    <x v="8"/>
    <x v="4"/>
    <n v="4"/>
    <n v="1080"/>
    <n v="4320"/>
  </r>
  <r>
    <x v="12"/>
    <x v="4"/>
    <x v="2"/>
    <x v="9"/>
    <x v="4"/>
    <n v="2"/>
    <n v="1575"/>
    <n v="3150"/>
  </r>
  <r>
    <x v="12"/>
    <x v="5"/>
    <x v="2"/>
    <x v="9"/>
    <x v="4"/>
    <n v="7"/>
    <n v="790"/>
    <n v="5530"/>
  </r>
  <r>
    <x v="13"/>
    <x v="0"/>
    <x v="0"/>
    <x v="0"/>
    <x v="0"/>
    <n v="5"/>
    <n v="2001"/>
    <n v="10005"/>
  </r>
  <r>
    <x v="13"/>
    <x v="1"/>
    <x v="1"/>
    <x v="1"/>
    <x v="0"/>
    <n v="42"/>
    <n v="75"/>
    <n v="3150"/>
  </r>
  <r>
    <x v="13"/>
    <x v="2"/>
    <x v="1"/>
    <x v="1"/>
    <x v="0"/>
    <n v="9"/>
    <n v="315"/>
    <n v="2835"/>
  </r>
  <r>
    <x v="13"/>
    <x v="3"/>
    <x v="0"/>
    <x v="0"/>
    <x v="0"/>
    <n v="6"/>
    <n v="1080"/>
    <n v="6480"/>
  </r>
  <r>
    <x v="13"/>
    <x v="4"/>
    <x v="2"/>
    <x v="0"/>
    <x v="0"/>
    <n v="2"/>
    <n v="1575"/>
    <n v="3150"/>
  </r>
  <r>
    <x v="13"/>
    <x v="5"/>
    <x v="2"/>
    <x v="0"/>
    <x v="0"/>
    <n v="9"/>
    <n v="790"/>
    <n v="7110"/>
  </r>
  <r>
    <x v="13"/>
    <x v="0"/>
    <x v="0"/>
    <x v="2"/>
    <x v="1"/>
    <n v="5"/>
    <n v="2001"/>
    <n v="10005"/>
  </r>
  <r>
    <x v="13"/>
    <x v="1"/>
    <x v="1"/>
    <x v="3"/>
    <x v="1"/>
    <n v="66"/>
    <n v="75"/>
    <n v="4950"/>
  </r>
  <r>
    <x v="13"/>
    <x v="2"/>
    <x v="1"/>
    <x v="3"/>
    <x v="1"/>
    <n v="15"/>
    <n v="315"/>
    <n v="4725"/>
  </r>
  <r>
    <x v="13"/>
    <x v="3"/>
    <x v="0"/>
    <x v="2"/>
    <x v="1"/>
    <n v="3"/>
    <n v="1080"/>
    <n v="3240"/>
  </r>
  <r>
    <x v="13"/>
    <x v="4"/>
    <x v="2"/>
    <x v="3"/>
    <x v="1"/>
    <n v="6"/>
    <n v="1575"/>
    <n v="9450"/>
  </r>
  <r>
    <x v="13"/>
    <x v="5"/>
    <x v="2"/>
    <x v="3"/>
    <x v="1"/>
    <n v="9"/>
    <n v="790"/>
    <n v="7110"/>
  </r>
  <r>
    <x v="13"/>
    <x v="0"/>
    <x v="0"/>
    <x v="4"/>
    <x v="2"/>
    <n v="5"/>
    <n v="2001"/>
    <n v="10005"/>
  </r>
  <r>
    <x v="13"/>
    <x v="1"/>
    <x v="1"/>
    <x v="4"/>
    <x v="2"/>
    <n v="44"/>
    <n v="75"/>
    <n v="3300"/>
  </r>
  <r>
    <x v="13"/>
    <x v="2"/>
    <x v="1"/>
    <x v="4"/>
    <x v="2"/>
    <n v="6"/>
    <n v="315"/>
    <n v="1890"/>
  </r>
  <r>
    <x v="13"/>
    <x v="3"/>
    <x v="0"/>
    <x v="4"/>
    <x v="2"/>
    <n v="4"/>
    <n v="1080"/>
    <n v="4320"/>
  </r>
  <r>
    <x v="13"/>
    <x v="4"/>
    <x v="2"/>
    <x v="5"/>
    <x v="2"/>
    <n v="2"/>
    <n v="1575"/>
    <n v="3150"/>
  </r>
  <r>
    <x v="13"/>
    <x v="5"/>
    <x v="2"/>
    <x v="5"/>
    <x v="2"/>
    <n v="6"/>
    <n v="790"/>
    <n v="4740"/>
  </r>
  <r>
    <x v="13"/>
    <x v="0"/>
    <x v="0"/>
    <x v="6"/>
    <x v="3"/>
    <n v="3"/>
    <n v="2001"/>
    <n v="6003"/>
  </r>
  <r>
    <x v="13"/>
    <x v="1"/>
    <x v="1"/>
    <x v="6"/>
    <x v="3"/>
    <n v="45"/>
    <n v="75"/>
    <n v="3375"/>
  </r>
  <r>
    <x v="13"/>
    <x v="2"/>
    <x v="1"/>
    <x v="6"/>
    <x v="3"/>
    <n v="6"/>
    <n v="315"/>
    <n v="1890"/>
  </r>
  <r>
    <x v="13"/>
    <x v="3"/>
    <x v="0"/>
    <x v="6"/>
    <x v="3"/>
    <n v="6"/>
    <n v="1080"/>
    <n v="6480"/>
  </r>
  <r>
    <x v="13"/>
    <x v="4"/>
    <x v="2"/>
    <x v="7"/>
    <x v="3"/>
    <n v="2"/>
    <n v="1575"/>
    <n v="3150"/>
  </r>
  <r>
    <x v="13"/>
    <x v="5"/>
    <x v="2"/>
    <x v="7"/>
    <x v="3"/>
    <n v="6"/>
    <n v="790"/>
    <n v="4740"/>
  </r>
  <r>
    <x v="13"/>
    <x v="0"/>
    <x v="0"/>
    <x v="8"/>
    <x v="4"/>
    <n v="4"/>
    <n v="2001"/>
    <n v="8004"/>
  </r>
  <r>
    <x v="13"/>
    <x v="1"/>
    <x v="1"/>
    <x v="9"/>
    <x v="4"/>
    <n v="37"/>
    <n v="75"/>
    <n v="2775"/>
  </r>
  <r>
    <x v="13"/>
    <x v="2"/>
    <x v="1"/>
    <x v="9"/>
    <x v="4"/>
    <n v="8"/>
    <n v="315"/>
    <n v="2520"/>
  </r>
  <r>
    <x v="13"/>
    <x v="3"/>
    <x v="0"/>
    <x v="8"/>
    <x v="4"/>
    <n v="5"/>
    <n v="1080"/>
    <n v="5400"/>
  </r>
  <r>
    <x v="13"/>
    <x v="4"/>
    <x v="2"/>
    <x v="9"/>
    <x v="4"/>
    <n v="2"/>
    <n v="1575"/>
    <n v="3150"/>
  </r>
  <r>
    <x v="13"/>
    <x v="5"/>
    <x v="2"/>
    <x v="9"/>
    <x v="4"/>
    <n v="8"/>
    <n v="790"/>
    <n v="6320"/>
  </r>
  <r>
    <x v="14"/>
    <x v="0"/>
    <x v="0"/>
    <x v="0"/>
    <x v="0"/>
    <n v="3"/>
    <n v="2001"/>
    <n v="6003"/>
  </r>
  <r>
    <x v="14"/>
    <x v="1"/>
    <x v="1"/>
    <x v="1"/>
    <x v="0"/>
    <n v="48"/>
    <n v="75"/>
    <n v="3600"/>
  </r>
  <r>
    <x v="14"/>
    <x v="2"/>
    <x v="1"/>
    <x v="1"/>
    <x v="0"/>
    <n v="5"/>
    <n v="315"/>
    <n v="1575"/>
  </r>
  <r>
    <x v="14"/>
    <x v="3"/>
    <x v="0"/>
    <x v="0"/>
    <x v="0"/>
    <n v="2"/>
    <n v="1080"/>
    <n v="2160"/>
  </r>
  <r>
    <x v="14"/>
    <x v="4"/>
    <x v="2"/>
    <x v="0"/>
    <x v="0"/>
    <n v="3"/>
    <n v="1575"/>
    <n v="4725"/>
  </r>
  <r>
    <x v="14"/>
    <x v="5"/>
    <x v="2"/>
    <x v="0"/>
    <x v="0"/>
    <n v="8"/>
    <n v="790"/>
    <n v="6320"/>
  </r>
  <r>
    <x v="14"/>
    <x v="0"/>
    <x v="0"/>
    <x v="2"/>
    <x v="1"/>
    <n v="5"/>
    <n v="2001"/>
    <n v="10005"/>
  </r>
  <r>
    <x v="14"/>
    <x v="1"/>
    <x v="1"/>
    <x v="3"/>
    <x v="1"/>
    <n v="33"/>
    <n v="75"/>
    <n v="2475"/>
  </r>
  <r>
    <x v="14"/>
    <x v="2"/>
    <x v="1"/>
    <x v="3"/>
    <x v="1"/>
    <n v="12"/>
    <n v="315"/>
    <n v="3780"/>
  </r>
  <r>
    <x v="14"/>
    <x v="3"/>
    <x v="0"/>
    <x v="2"/>
    <x v="1"/>
    <n v="2"/>
    <n v="1080"/>
    <n v="2160"/>
  </r>
  <r>
    <x v="14"/>
    <x v="4"/>
    <x v="2"/>
    <x v="3"/>
    <x v="1"/>
    <n v="6"/>
    <n v="1575"/>
    <n v="9450"/>
  </r>
  <r>
    <x v="14"/>
    <x v="5"/>
    <x v="2"/>
    <x v="3"/>
    <x v="1"/>
    <n v="6"/>
    <n v="790"/>
    <n v="4740"/>
  </r>
  <r>
    <x v="14"/>
    <x v="0"/>
    <x v="0"/>
    <x v="4"/>
    <x v="2"/>
    <n v="3"/>
    <n v="2001"/>
    <n v="6003"/>
  </r>
  <r>
    <x v="14"/>
    <x v="1"/>
    <x v="1"/>
    <x v="4"/>
    <x v="2"/>
    <n v="60"/>
    <n v="75"/>
    <n v="4500"/>
  </r>
  <r>
    <x v="14"/>
    <x v="2"/>
    <x v="1"/>
    <x v="4"/>
    <x v="2"/>
    <n v="9"/>
    <n v="315"/>
    <n v="2835"/>
  </r>
  <r>
    <x v="14"/>
    <x v="3"/>
    <x v="0"/>
    <x v="4"/>
    <x v="2"/>
    <n v="6"/>
    <n v="1080"/>
    <n v="6480"/>
  </r>
  <r>
    <x v="14"/>
    <x v="4"/>
    <x v="2"/>
    <x v="5"/>
    <x v="2"/>
    <n v="3"/>
    <n v="1575"/>
    <n v="4725"/>
  </r>
  <r>
    <x v="14"/>
    <x v="5"/>
    <x v="2"/>
    <x v="5"/>
    <x v="2"/>
    <n v="8"/>
    <n v="790"/>
    <n v="6320"/>
  </r>
  <r>
    <x v="14"/>
    <x v="0"/>
    <x v="0"/>
    <x v="6"/>
    <x v="3"/>
    <n v="3"/>
    <n v="2001"/>
    <n v="6003"/>
  </r>
  <r>
    <x v="14"/>
    <x v="1"/>
    <x v="1"/>
    <x v="6"/>
    <x v="3"/>
    <n v="49"/>
    <n v="75"/>
    <n v="3675"/>
  </r>
  <r>
    <x v="14"/>
    <x v="2"/>
    <x v="1"/>
    <x v="6"/>
    <x v="3"/>
    <n v="14"/>
    <n v="315"/>
    <n v="4410"/>
  </r>
  <r>
    <x v="14"/>
    <x v="3"/>
    <x v="0"/>
    <x v="6"/>
    <x v="3"/>
    <n v="2"/>
    <n v="1080"/>
    <n v="2160"/>
  </r>
  <r>
    <x v="14"/>
    <x v="4"/>
    <x v="2"/>
    <x v="7"/>
    <x v="3"/>
    <n v="3"/>
    <n v="1575"/>
    <n v="4725"/>
  </r>
  <r>
    <x v="14"/>
    <x v="5"/>
    <x v="2"/>
    <x v="7"/>
    <x v="3"/>
    <n v="10"/>
    <n v="790"/>
    <n v="7900"/>
  </r>
  <r>
    <x v="14"/>
    <x v="0"/>
    <x v="0"/>
    <x v="8"/>
    <x v="4"/>
    <n v="6"/>
    <n v="2001"/>
    <n v="12006"/>
  </r>
  <r>
    <x v="14"/>
    <x v="1"/>
    <x v="1"/>
    <x v="9"/>
    <x v="4"/>
    <n v="57"/>
    <n v="75"/>
    <n v="4275"/>
  </r>
  <r>
    <x v="14"/>
    <x v="2"/>
    <x v="1"/>
    <x v="9"/>
    <x v="4"/>
    <n v="12"/>
    <n v="315"/>
    <n v="3780"/>
  </r>
  <r>
    <x v="14"/>
    <x v="3"/>
    <x v="0"/>
    <x v="8"/>
    <x v="4"/>
    <n v="5"/>
    <n v="1080"/>
    <n v="5400"/>
  </r>
  <r>
    <x v="14"/>
    <x v="4"/>
    <x v="2"/>
    <x v="9"/>
    <x v="4"/>
    <n v="5"/>
    <n v="1575"/>
    <n v="7875"/>
  </r>
  <r>
    <x v="14"/>
    <x v="5"/>
    <x v="2"/>
    <x v="9"/>
    <x v="4"/>
    <n v="11"/>
    <n v="790"/>
    <n v="8690"/>
  </r>
  <r>
    <x v="15"/>
    <x v="0"/>
    <x v="0"/>
    <x v="0"/>
    <x v="0"/>
    <n v="4"/>
    <n v="2001"/>
    <n v="8004"/>
  </r>
  <r>
    <x v="15"/>
    <x v="1"/>
    <x v="1"/>
    <x v="1"/>
    <x v="0"/>
    <n v="46"/>
    <n v="75"/>
    <n v="3450"/>
  </r>
  <r>
    <x v="15"/>
    <x v="2"/>
    <x v="1"/>
    <x v="1"/>
    <x v="0"/>
    <n v="12"/>
    <n v="315"/>
    <n v="3780"/>
  </r>
  <r>
    <x v="15"/>
    <x v="3"/>
    <x v="0"/>
    <x v="0"/>
    <x v="0"/>
    <n v="2"/>
    <n v="1080"/>
    <n v="2160"/>
  </r>
  <r>
    <x v="15"/>
    <x v="4"/>
    <x v="2"/>
    <x v="0"/>
    <x v="0"/>
    <n v="3"/>
    <n v="1575"/>
    <n v="4725"/>
  </r>
  <r>
    <x v="15"/>
    <x v="5"/>
    <x v="2"/>
    <x v="0"/>
    <x v="0"/>
    <n v="7"/>
    <n v="790"/>
    <n v="5530"/>
  </r>
  <r>
    <x v="15"/>
    <x v="0"/>
    <x v="0"/>
    <x v="2"/>
    <x v="1"/>
    <n v="3"/>
    <n v="2001"/>
    <n v="6003"/>
  </r>
  <r>
    <x v="15"/>
    <x v="1"/>
    <x v="1"/>
    <x v="3"/>
    <x v="1"/>
    <n v="47"/>
    <n v="75"/>
    <n v="3525"/>
  </r>
  <r>
    <x v="15"/>
    <x v="2"/>
    <x v="1"/>
    <x v="3"/>
    <x v="1"/>
    <n v="8"/>
    <n v="315"/>
    <n v="2520"/>
  </r>
  <r>
    <x v="15"/>
    <x v="3"/>
    <x v="0"/>
    <x v="2"/>
    <x v="1"/>
    <n v="3"/>
    <n v="1080"/>
    <n v="3240"/>
  </r>
  <r>
    <x v="15"/>
    <x v="4"/>
    <x v="2"/>
    <x v="3"/>
    <x v="1"/>
    <n v="5"/>
    <n v="1575"/>
    <n v="7875"/>
  </r>
  <r>
    <x v="15"/>
    <x v="5"/>
    <x v="2"/>
    <x v="3"/>
    <x v="1"/>
    <n v="9"/>
    <n v="790"/>
    <n v="7110"/>
  </r>
  <r>
    <x v="15"/>
    <x v="0"/>
    <x v="0"/>
    <x v="4"/>
    <x v="2"/>
    <n v="6"/>
    <n v="2001"/>
    <n v="12006"/>
  </r>
  <r>
    <x v="15"/>
    <x v="1"/>
    <x v="1"/>
    <x v="4"/>
    <x v="2"/>
    <n v="38"/>
    <n v="75"/>
    <n v="2850"/>
  </r>
  <r>
    <x v="15"/>
    <x v="2"/>
    <x v="1"/>
    <x v="4"/>
    <x v="2"/>
    <n v="10"/>
    <n v="315"/>
    <n v="3150"/>
  </r>
  <r>
    <x v="15"/>
    <x v="3"/>
    <x v="0"/>
    <x v="4"/>
    <x v="2"/>
    <n v="4"/>
    <n v="1080"/>
    <n v="4320"/>
  </r>
  <r>
    <x v="15"/>
    <x v="4"/>
    <x v="2"/>
    <x v="5"/>
    <x v="2"/>
    <n v="6"/>
    <n v="1575"/>
    <n v="9450"/>
  </r>
  <r>
    <x v="15"/>
    <x v="5"/>
    <x v="2"/>
    <x v="5"/>
    <x v="2"/>
    <n v="7"/>
    <n v="790"/>
    <n v="5530"/>
  </r>
  <r>
    <x v="15"/>
    <x v="0"/>
    <x v="0"/>
    <x v="6"/>
    <x v="3"/>
    <n v="5"/>
    <n v="2001"/>
    <n v="10005"/>
  </r>
  <r>
    <x v="15"/>
    <x v="1"/>
    <x v="1"/>
    <x v="6"/>
    <x v="3"/>
    <n v="54"/>
    <n v="75"/>
    <n v="4050"/>
  </r>
  <r>
    <x v="15"/>
    <x v="2"/>
    <x v="1"/>
    <x v="6"/>
    <x v="3"/>
    <n v="8"/>
    <n v="315"/>
    <n v="2520"/>
  </r>
  <r>
    <x v="15"/>
    <x v="3"/>
    <x v="0"/>
    <x v="6"/>
    <x v="3"/>
    <n v="3"/>
    <n v="1080"/>
    <n v="3240"/>
  </r>
  <r>
    <x v="15"/>
    <x v="4"/>
    <x v="2"/>
    <x v="7"/>
    <x v="3"/>
    <n v="2"/>
    <n v="1575"/>
    <n v="3150"/>
  </r>
  <r>
    <x v="15"/>
    <x v="5"/>
    <x v="2"/>
    <x v="7"/>
    <x v="3"/>
    <n v="6"/>
    <n v="790"/>
    <n v="4740"/>
  </r>
  <r>
    <x v="15"/>
    <x v="0"/>
    <x v="0"/>
    <x v="8"/>
    <x v="4"/>
    <n v="5"/>
    <n v="2001"/>
    <n v="10005"/>
  </r>
  <r>
    <x v="15"/>
    <x v="1"/>
    <x v="1"/>
    <x v="9"/>
    <x v="4"/>
    <n v="50"/>
    <n v="75"/>
    <n v="3750"/>
  </r>
  <r>
    <x v="15"/>
    <x v="2"/>
    <x v="1"/>
    <x v="9"/>
    <x v="4"/>
    <n v="11"/>
    <n v="315"/>
    <n v="3465"/>
  </r>
  <r>
    <x v="15"/>
    <x v="3"/>
    <x v="0"/>
    <x v="8"/>
    <x v="4"/>
    <n v="3"/>
    <n v="1080"/>
    <n v="3240"/>
  </r>
  <r>
    <x v="15"/>
    <x v="4"/>
    <x v="2"/>
    <x v="9"/>
    <x v="4"/>
    <n v="5"/>
    <n v="1575"/>
    <n v="7875"/>
  </r>
  <r>
    <x v="15"/>
    <x v="5"/>
    <x v="2"/>
    <x v="9"/>
    <x v="4"/>
    <n v="7"/>
    <n v="790"/>
    <n v="5530"/>
  </r>
  <r>
    <x v="16"/>
    <x v="0"/>
    <x v="0"/>
    <x v="0"/>
    <x v="0"/>
    <n v="5"/>
    <n v="2001"/>
    <n v="10005"/>
  </r>
  <r>
    <x v="16"/>
    <x v="1"/>
    <x v="1"/>
    <x v="1"/>
    <x v="0"/>
    <n v="52"/>
    <n v="75"/>
    <n v="3900"/>
  </r>
  <r>
    <x v="16"/>
    <x v="2"/>
    <x v="1"/>
    <x v="1"/>
    <x v="0"/>
    <n v="11"/>
    <n v="315"/>
    <n v="3465"/>
  </r>
  <r>
    <x v="16"/>
    <x v="3"/>
    <x v="0"/>
    <x v="0"/>
    <x v="0"/>
    <n v="6"/>
    <n v="1080"/>
    <n v="6480"/>
  </r>
  <r>
    <x v="16"/>
    <x v="4"/>
    <x v="2"/>
    <x v="0"/>
    <x v="0"/>
    <n v="3"/>
    <n v="1575"/>
    <n v="4725"/>
  </r>
  <r>
    <x v="16"/>
    <x v="5"/>
    <x v="2"/>
    <x v="0"/>
    <x v="0"/>
    <n v="11"/>
    <n v="790"/>
    <n v="8690"/>
  </r>
  <r>
    <x v="16"/>
    <x v="0"/>
    <x v="0"/>
    <x v="2"/>
    <x v="1"/>
    <n v="4"/>
    <n v="2001"/>
    <n v="8004"/>
  </r>
  <r>
    <x v="16"/>
    <x v="1"/>
    <x v="1"/>
    <x v="3"/>
    <x v="1"/>
    <n v="33"/>
    <n v="75"/>
    <n v="2475"/>
  </r>
  <r>
    <x v="16"/>
    <x v="2"/>
    <x v="1"/>
    <x v="3"/>
    <x v="1"/>
    <n v="7"/>
    <n v="315"/>
    <n v="2205"/>
  </r>
  <r>
    <x v="16"/>
    <x v="3"/>
    <x v="0"/>
    <x v="2"/>
    <x v="1"/>
    <n v="3"/>
    <n v="1080"/>
    <n v="3240"/>
  </r>
  <r>
    <x v="16"/>
    <x v="4"/>
    <x v="2"/>
    <x v="3"/>
    <x v="1"/>
    <n v="6"/>
    <n v="1575"/>
    <n v="9450"/>
  </r>
  <r>
    <x v="16"/>
    <x v="5"/>
    <x v="2"/>
    <x v="3"/>
    <x v="1"/>
    <n v="7"/>
    <n v="790"/>
    <n v="5530"/>
  </r>
  <r>
    <x v="16"/>
    <x v="0"/>
    <x v="0"/>
    <x v="4"/>
    <x v="2"/>
    <n v="6"/>
    <n v="2001"/>
    <n v="12006"/>
  </r>
  <r>
    <x v="16"/>
    <x v="1"/>
    <x v="1"/>
    <x v="4"/>
    <x v="2"/>
    <n v="41"/>
    <n v="75"/>
    <n v="3075"/>
  </r>
  <r>
    <x v="16"/>
    <x v="2"/>
    <x v="1"/>
    <x v="4"/>
    <x v="2"/>
    <n v="13"/>
    <n v="315"/>
    <n v="4095"/>
  </r>
  <r>
    <x v="16"/>
    <x v="3"/>
    <x v="0"/>
    <x v="4"/>
    <x v="2"/>
    <n v="6"/>
    <n v="1080"/>
    <n v="6480"/>
  </r>
  <r>
    <x v="16"/>
    <x v="4"/>
    <x v="2"/>
    <x v="5"/>
    <x v="2"/>
    <n v="3"/>
    <n v="1575"/>
    <n v="4725"/>
  </r>
  <r>
    <x v="16"/>
    <x v="5"/>
    <x v="2"/>
    <x v="5"/>
    <x v="2"/>
    <n v="10"/>
    <n v="790"/>
    <n v="7900"/>
  </r>
  <r>
    <x v="16"/>
    <x v="0"/>
    <x v="0"/>
    <x v="6"/>
    <x v="3"/>
    <n v="4"/>
    <n v="2001"/>
    <n v="8004"/>
  </r>
  <r>
    <x v="16"/>
    <x v="1"/>
    <x v="1"/>
    <x v="6"/>
    <x v="3"/>
    <n v="47"/>
    <n v="75"/>
    <n v="3525"/>
  </r>
  <r>
    <x v="16"/>
    <x v="2"/>
    <x v="1"/>
    <x v="6"/>
    <x v="3"/>
    <n v="5"/>
    <n v="315"/>
    <n v="1575"/>
  </r>
  <r>
    <x v="16"/>
    <x v="3"/>
    <x v="0"/>
    <x v="6"/>
    <x v="3"/>
    <n v="5"/>
    <n v="1080"/>
    <n v="5400"/>
  </r>
  <r>
    <x v="16"/>
    <x v="4"/>
    <x v="2"/>
    <x v="7"/>
    <x v="3"/>
    <n v="4"/>
    <n v="1575"/>
    <n v="6300"/>
  </r>
  <r>
    <x v="16"/>
    <x v="5"/>
    <x v="2"/>
    <x v="7"/>
    <x v="3"/>
    <n v="10"/>
    <n v="790"/>
    <n v="7900"/>
  </r>
  <r>
    <x v="16"/>
    <x v="0"/>
    <x v="0"/>
    <x v="8"/>
    <x v="4"/>
    <n v="6"/>
    <n v="2001"/>
    <n v="12006"/>
  </r>
  <r>
    <x v="16"/>
    <x v="1"/>
    <x v="1"/>
    <x v="9"/>
    <x v="4"/>
    <n v="50"/>
    <n v="75"/>
    <n v="3750"/>
  </r>
  <r>
    <x v="16"/>
    <x v="2"/>
    <x v="1"/>
    <x v="9"/>
    <x v="4"/>
    <n v="11"/>
    <n v="315"/>
    <n v="3465"/>
  </r>
  <r>
    <x v="16"/>
    <x v="3"/>
    <x v="0"/>
    <x v="8"/>
    <x v="4"/>
    <n v="2"/>
    <n v="1080"/>
    <n v="2160"/>
  </r>
  <r>
    <x v="16"/>
    <x v="4"/>
    <x v="2"/>
    <x v="9"/>
    <x v="4"/>
    <n v="2"/>
    <n v="1575"/>
    <n v="3150"/>
  </r>
  <r>
    <x v="16"/>
    <x v="5"/>
    <x v="2"/>
    <x v="9"/>
    <x v="4"/>
    <n v="6"/>
    <n v="790"/>
    <n v="4740"/>
  </r>
  <r>
    <x v="17"/>
    <x v="0"/>
    <x v="0"/>
    <x v="0"/>
    <x v="0"/>
    <n v="3"/>
    <n v="2001"/>
    <n v="6003"/>
  </r>
  <r>
    <x v="17"/>
    <x v="1"/>
    <x v="1"/>
    <x v="1"/>
    <x v="0"/>
    <n v="54"/>
    <n v="75"/>
    <n v="4050"/>
  </r>
  <r>
    <x v="17"/>
    <x v="2"/>
    <x v="1"/>
    <x v="1"/>
    <x v="0"/>
    <n v="9"/>
    <n v="315"/>
    <n v="2835"/>
  </r>
  <r>
    <x v="17"/>
    <x v="3"/>
    <x v="0"/>
    <x v="0"/>
    <x v="0"/>
    <n v="4"/>
    <n v="1080"/>
    <n v="4320"/>
  </r>
  <r>
    <x v="17"/>
    <x v="4"/>
    <x v="2"/>
    <x v="0"/>
    <x v="0"/>
    <n v="2"/>
    <n v="1575"/>
    <n v="3150"/>
  </r>
  <r>
    <x v="17"/>
    <x v="5"/>
    <x v="2"/>
    <x v="0"/>
    <x v="0"/>
    <n v="6"/>
    <n v="790"/>
    <n v="4740"/>
  </r>
  <r>
    <x v="17"/>
    <x v="0"/>
    <x v="0"/>
    <x v="2"/>
    <x v="1"/>
    <n v="3"/>
    <n v="2001"/>
    <n v="6003"/>
  </r>
  <r>
    <x v="17"/>
    <x v="1"/>
    <x v="1"/>
    <x v="3"/>
    <x v="1"/>
    <n v="35"/>
    <n v="75"/>
    <n v="2625"/>
  </r>
  <r>
    <x v="17"/>
    <x v="2"/>
    <x v="1"/>
    <x v="3"/>
    <x v="1"/>
    <n v="13"/>
    <n v="315"/>
    <n v="4095"/>
  </r>
  <r>
    <x v="17"/>
    <x v="3"/>
    <x v="0"/>
    <x v="2"/>
    <x v="1"/>
    <n v="5"/>
    <n v="1080"/>
    <n v="5400"/>
  </r>
  <r>
    <x v="17"/>
    <x v="4"/>
    <x v="2"/>
    <x v="3"/>
    <x v="1"/>
    <n v="6"/>
    <n v="1575"/>
    <n v="9450"/>
  </r>
  <r>
    <x v="17"/>
    <x v="5"/>
    <x v="2"/>
    <x v="2"/>
    <x v="1"/>
    <n v="10"/>
    <n v="790"/>
    <n v="7900"/>
  </r>
  <r>
    <x v="17"/>
    <x v="0"/>
    <x v="0"/>
    <x v="4"/>
    <x v="2"/>
    <n v="4"/>
    <n v="2001"/>
    <n v="8004"/>
  </r>
  <r>
    <x v="17"/>
    <x v="1"/>
    <x v="1"/>
    <x v="4"/>
    <x v="2"/>
    <n v="51"/>
    <n v="75"/>
    <n v="3825"/>
  </r>
  <r>
    <x v="17"/>
    <x v="2"/>
    <x v="1"/>
    <x v="5"/>
    <x v="2"/>
    <n v="10"/>
    <n v="315"/>
    <n v="3150"/>
  </r>
  <r>
    <x v="17"/>
    <x v="3"/>
    <x v="0"/>
    <x v="4"/>
    <x v="2"/>
    <n v="5"/>
    <n v="1080"/>
    <n v="5400"/>
  </r>
  <r>
    <x v="17"/>
    <x v="4"/>
    <x v="2"/>
    <x v="5"/>
    <x v="2"/>
    <n v="5"/>
    <n v="1575"/>
    <n v="7875"/>
  </r>
  <r>
    <x v="17"/>
    <x v="5"/>
    <x v="2"/>
    <x v="5"/>
    <x v="2"/>
    <n v="8"/>
    <n v="790"/>
    <n v="6320"/>
  </r>
  <r>
    <x v="17"/>
    <x v="0"/>
    <x v="0"/>
    <x v="6"/>
    <x v="3"/>
    <n v="5"/>
    <n v="2001"/>
    <n v="10005"/>
  </r>
  <r>
    <x v="17"/>
    <x v="1"/>
    <x v="1"/>
    <x v="6"/>
    <x v="3"/>
    <n v="48"/>
    <n v="75"/>
    <n v="3600"/>
  </r>
  <r>
    <x v="17"/>
    <x v="2"/>
    <x v="1"/>
    <x v="6"/>
    <x v="3"/>
    <n v="7"/>
    <n v="315"/>
    <n v="2205"/>
  </r>
  <r>
    <x v="17"/>
    <x v="3"/>
    <x v="0"/>
    <x v="6"/>
    <x v="3"/>
    <n v="6"/>
    <n v="1080"/>
    <n v="6480"/>
  </r>
  <r>
    <x v="17"/>
    <x v="4"/>
    <x v="2"/>
    <x v="7"/>
    <x v="3"/>
    <n v="2"/>
    <n v="1575"/>
    <n v="3150"/>
  </r>
  <r>
    <x v="17"/>
    <x v="5"/>
    <x v="2"/>
    <x v="7"/>
    <x v="3"/>
    <n v="11"/>
    <n v="790"/>
    <n v="8690"/>
  </r>
  <r>
    <x v="17"/>
    <x v="0"/>
    <x v="0"/>
    <x v="8"/>
    <x v="4"/>
    <n v="6"/>
    <n v="2001"/>
    <n v="12006"/>
  </r>
  <r>
    <x v="17"/>
    <x v="1"/>
    <x v="1"/>
    <x v="9"/>
    <x v="4"/>
    <n v="57"/>
    <n v="75"/>
    <n v="4275"/>
  </r>
  <r>
    <x v="17"/>
    <x v="2"/>
    <x v="1"/>
    <x v="9"/>
    <x v="4"/>
    <n v="7"/>
    <n v="315"/>
    <n v="2205"/>
  </r>
  <r>
    <x v="17"/>
    <x v="3"/>
    <x v="0"/>
    <x v="8"/>
    <x v="4"/>
    <n v="3"/>
    <n v="1080"/>
    <n v="3240"/>
  </r>
  <r>
    <x v="17"/>
    <x v="4"/>
    <x v="2"/>
    <x v="9"/>
    <x v="4"/>
    <n v="6"/>
    <n v="1575"/>
    <n v="9450"/>
  </r>
  <r>
    <x v="17"/>
    <x v="5"/>
    <x v="2"/>
    <x v="8"/>
    <x v="4"/>
    <n v="10"/>
    <n v="790"/>
    <n v="7900"/>
  </r>
  <r>
    <x v="18"/>
    <x v="0"/>
    <x v="0"/>
    <x v="0"/>
    <x v="0"/>
    <n v="5"/>
    <n v="2001"/>
    <n v="10005"/>
  </r>
  <r>
    <x v="18"/>
    <x v="1"/>
    <x v="1"/>
    <x v="1"/>
    <x v="0"/>
    <n v="52"/>
    <n v="75"/>
    <n v="3900"/>
  </r>
  <r>
    <x v="18"/>
    <x v="2"/>
    <x v="1"/>
    <x v="1"/>
    <x v="0"/>
    <n v="5"/>
    <n v="315"/>
    <n v="1575"/>
  </r>
  <r>
    <x v="18"/>
    <x v="3"/>
    <x v="0"/>
    <x v="0"/>
    <x v="0"/>
    <n v="2"/>
    <n v="1080"/>
    <n v="2160"/>
  </r>
  <r>
    <x v="18"/>
    <x v="4"/>
    <x v="2"/>
    <x v="0"/>
    <x v="0"/>
    <n v="3"/>
    <n v="1575"/>
    <n v="4725"/>
  </r>
  <r>
    <x v="18"/>
    <x v="5"/>
    <x v="2"/>
    <x v="0"/>
    <x v="0"/>
    <n v="8"/>
    <n v="790"/>
    <n v="6320"/>
  </r>
  <r>
    <x v="18"/>
    <x v="0"/>
    <x v="0"/>
    <x v="2"/>
    <x v="1"/>
    <n v="5"/>
    <n v="2001"/>
    <n v="10005"/>
  </r>
  <r>
    <x v="18"/>
    <x v="1"/>
    <x v="1"/>
    <x v="3"/>
    <x v="1"/>
    <n v="38"/>
    <n v="75"/>
    <n v="2850"/>
  </r>
  <r>
    <x v="18"/>
    <x v="2"/>
    <x v="1"/>
    <x v="3"/>
    <x v="1"/>
    <n v="6"/>
    <n v="315"/>
    <n v="1890"/>
  </r>
  <r>
    <x v="18"/>
    <x v="3"/>
    <x v="0"/>
    <x v="2"/>
    <x v="1"/>
    <n v="2"/>
    <n v="1080"/>
    <n v="2160"/>
  </r>
  <r>
    <x v="18"/>
    <x v="4"/>
    <x v="2"/>
    <x v="2"/>
    <x v="1"/>
    <n v="5"/>
    <n v="1575"/>
    <n v="7875"/>
  </r>
  <r>
    <x v="18"/>
    <x v="5"/>
    <x v="2"/>
    <x v="2"/>
    <x v="1"/>
    <n v="6"/>
    <n v="790"/>
    <n v="4740"/>
  </r>
  <r>
    <x v="18"/>
    <x v="0"/>
    <x v="0"/>
    <x v="4"/>
    <x v="2"/>
    <n v="4"/>
    <n v="2001"/>
    <n v="8004"/>
  </r>
  <r>
    <x v="18"/>
    <x v="1"/>
    <x v="1"/>
    <x v="5"/>
    <x v="2"/>
    <n v="31"/>
    <n v="75"/>
    <n v="2325"/>
  </r>
  <r>
    <x v="18"/>
    <x v="2"/>
    <x v="1"/>
    <x v="5"/>
    <x v="2"/>
    <n v="11"/>
    <n v="315"/>
    <n v="3465"/>
  </r>
  <r>
    <x v="18"/>
    <x v="3"/>
    <x v="0"/>
    <x v="4"/>
    <x v="2"/>
    <n v="6"/>
    <n v="1080"/>
    <n v="6480"/>
  </r>
  <r>
    <x v="18"/>
    <x v="4"/>
    <x v="2"/>
    <x v="5"/>
    <x v="2"/>
    <n v="4"/>
    <n v="1575"/>
    <n v="6300"/>
  </r>
  <r>
    <x v="18"/>
    <x v="5"/>
    <x v="2"/>
    <x v="5"/>
    <x v="2"/>
    <n v="10"/>
    <n v="790"/>
    <n v="7900"/>
  </r>
  <r>
    <x v="18"/>
    <x v="0"/>
    <x v="0"/>
    <x v="6"/>
    <x v="3"/>
    <n v="3"/>
    <n v="2001"/>
    <n v="6003"/>
  </r>
  <r>
    <x v="18"/>
    <x v="1"/>
    <x v="1"/>
    <x v="6"/>
    <x v="3"/>
    <n v="39"/>
    <n v="75"/>
    <n v="2925"/>
  </r>
  <r>
    <x v="18"/>
    <x v="2"/>
    <x v="1"/>
    <x v="7"/>
    <x v="3"/>
    <n v="5"/>
    <n v="315"/>
    <n v="1575"/>
  </r>
  <r>
    <x v="18"/>
    <x v="3"/>
    <x v="0"/>
    <x v="6"/>
    <x v="3"/>
    <n v="3"/>
    <n v="1080"/>
    <n v="3240"/>
  </r>
  <r>
    <x v="18"/>
    <x v="4"/>
    <x v="2"/>
    <x v="7"/>
    <x v="3"/>
    <n v="5"/>
    <n v="1575"/>
    <n v="7875"/>
  </r>
  <r>
    <x v="18"/>
    <x v="5"/>
    <x v="2"/>
    <x v="7"/>
    <x v="3"/>
    <n v="6"/>
    <n v="790"/>
    <n v="4740"/>
  </r>
  <r>
    <x v="18"/>
    <x v="0"/>
    <x v="0"/>
    <x v="8"/>
    <x v="4"/>
    <n v="6"/>
    <n v="2001"/>
    <n v="12006"/>
  </r>
  <r>
    <x v="18"/>
    <x v="1"/>
    <x v="1"/>
    <x v="9"/>
    <x v="4"/>
    <n v="32"/>
    <n v="75"/>
    <n v="2400"/>
  </r>
  <r>
    <x v="18"/>
    <x v="2"/>
    <x v="1"/>
    <x v="9"/>
    <x v="4"/>
    <n v="8"/>
    <n v="315"/>
    <n v="2520"/>
  </r>
  <r>
    <x v="18"/>
    <x v="3"/>
    <x v="0"/>
    <x v="8"/>
    <x v="4"/>
    <n v="5"/>
    <n v="1080"/>
    <n v="5400"/>
  </r>
  <r>
    <x v="18"/>
    <x v="4"/>
    <x v="2"/>
    <x v="8"/>
    <x v="4"/>
    <n v="5"/>
    <n v="1575"/>
    <n v="7875"/>
  </r>
  <r>
    <x v="18"/>
    <x v="5"/>
    <x v="2"/>
    <x v="8"/>
    <x v="4"/>
    <n v="11"/>
    <n v="790"/>
    <n v="8690"/>
  </r>
  <r>
    <x v="19"/>
    <x v="0"/>
    <x v="0"/>
    <x v="0"/>
    <x v="0"/>
    <n v="6"/>
    <n v="2001"/>
    <n v="12006"/>
  </r>
  <r>
    <x v="19"/>
    <x v="1"/>
    <x v="1"/>
    <x v="1"/>
    <x v="0"/>
    <n v="37"/>
    <n v="75"/>
    <n v="2775"/>
  </r>
  <r>
    <x v="19"/>
    <x v="2"/>
    <x v="1"/>
    <x v="1"/>
    <x v="0"/>
    <n v="7"/>
    <n v="315"/>
    <n v="2205"/>
  </r>
  <r>
    <x v="19"/>
    <x v="3"/>
    <x v="0"/>
    <x v="0"/>
    <x v="0"/>
    <n v="6"/>
    <n v="1080"/>
    <n v="6480"/>
  </r>
  <r>
    <x v="19"/>
    <x v="4"/>
    <x v="2"/>
    <x v="0"/>
    <x v="0"/>
    <n v="6"/>
    <n v="1575"/>
    <n v="9450"/>
  </r>
  <r>
    <x v="19"/>
    <x v="5"/>
    <x v="2"/>
    <x v="0"/>
    <x v="0"/>
    <n v="8"/>
    <n v="790"/>
    <n v="6320"/>
  </r>
  <r>
    <x v="19"/>
    <x v="0"/>
    <x v="0"/>
    <x v="2"/>
    <x v="1"/>
    <n v="6"/>
    <n v="2001"/>
    <n v="12006"/>
  </r>
  <r>
    <x v="19"/>
    <x v="1"/>
    <x v="1"/>
    <x v="3"/>
    <x v="1"/>
    <n v="36"/>
    <n v="75"/>
    <n v="2700"/>
  </r>
  <r>
    <x v="19"/>
    <x v="2"/>
    <x v="1"/>
    <x v="3"/>
    <x v="1"/>
    <n v="13"/>
    <n v="315"/>
    <n v="4095"/>
  </r>
  <r>
    <x v="19"/>
    <x v="3"/>
    <x v="0"/>
    <x v="2"/>
    <x v="1"/>
    <n v="4"/>
    <n v="1080"/>
    <n v="4320"/>
  </r>
  <r>
    <x v="19"/>
    <x v="4"/>
    <x v="2"/>
    <x v="2"/>
    <x v="1"/>
    <n v="3"/>
    <n v="1575"/>
    <n v="4725"/>
  </r>
  <r>
    <x v="19"/>
    <x v="5"/>
    <x v="2"/>
    <x v="2"/>
    <x v="1"/>
    <n v="9"/>
    <n v="790"/>
    <n v="7110"/>
  </r>
  <r>
    <x v="19"/>
    <x v="0"/>
    <x v="0"/>
    <x v="4"/>
    <x v="2"/>
    <n v="3"/>
    <n v="2001"/>
    <n v="6003"/>
  </r>
  <r>
    <x v="19"/>
    <x v="1"/>
    <x v="1"/>
    <x v="5"/>
    <x v="2"/>
    <n v="57"/>
    <n v="75"/>
    <n v="4275"/>
  </r>
  <r>
    <x v="19"/>
    <x v="2"/>
    <x v="1"/>
    <x v="5"/>
    <x v="2"/>
    <n v="9"/>
    <n v="315"/>
    <n v="2835"/>
  </r>
  <r>
    <x v="19"/>
    <x v="3"/>
    <x v="0"/>
    <x v="4"/>
    <x v="2"/>
    <n v="6"/>
    <n v="1080"/>
    <n v="6480"/>
  </r>
  <r>
    <x v="19"/>
    <x v="4"/>
    <x v="2"/>
    <x v="5"/>
    <x v="2"/>
    <n v="2"/>
    <n v="1575"/>
    <n v="3150"/>
  </r>
  <r>
    <x v="19"/>
    <x v="5"/>
    <x v="2"/>
    <x v="5"/>
    <x v="2"/>
    <n v="11"/>
    <n v="790"/>
    <n v="8690"/>
  </r>
  <r>
    <x v="19"/>
    <x v="0"/>
    <x v="0"/>
    <x v="6"/>
    <x v="3"/>
    <n v="5"/>
    <n v="2001"/>
    <n v="10005"/>
  </r>
  <r>
    <x v="19"/>
    <x v="1"/>
    <x v="1"/>
    <x v="7"/>
    <x v="3"/>
    <n v="55"/>
    <n v="75"/>
    <n v="4125"/>
  </r>
  <r>
    <x v="19"/>
    <x v="2"/>
    <x v="1"/>
    <x v="7"/>
    <x v="3"/>
    <n v="11"/>
    <n v="315"/>
    <n v="3465"/>
  </r>
  <r>
    <x v="19"/>
    <x v="3"/>
    <x v="0"/>
    <x v="6"/>
    <x v="3"/>
    <n v="5"/>
    <n v="1080"/>
    <n v="5400"/>
  </r>
  <r>
    <x v="19"/>
    <x v="4"/>
    <x v="2"/>
    <x v="7"/>
    <x v="3"/>
    <n v="4"/>
    <n v="1575"/>
    <n v="6300"/>
  </r>
  <r>
    <x v="19"/>
    <x v="5"/>
    <x v="2"/>
    <x v="7"/>
    <x v="3"/>
    <n v="10"/>
    <n v="790"/>
    <n v="7900"/>
  </r>
  <r>
    <x v="19"/>
    <x v="0"/>
    <x v="0"/>
    <x v="8"/>
    <x v="4"/>
    <n v="6"/>
    <n v="2001"/>
    <n v="12006"/>
  </r>
  <r>
    <x v="19"/>
    <x v="1"/>
    <x v="1"/>
    <x v="9"/>
    <x v="4"/>
    <n v="48"/>
    <n v="75"/>
    <n v="3600"/>
  </r>
  <r>
    <x v="19"/>
    <x v="2"/>
    <x v="1"/>
    <x v="9"/>
    <x v="4"/>
    <n v="13"/>
    <n v="315"/>
    <n v="4095"/>
  </r>
  <r>
    <x v="19"/>
    <x v="3"/>
    <x v="0"/>
    <x v="8"/>
    <x v="4"/>
    <n v="4"/>
    <n v="1080"/>
    <n v="4320"/>
  </r>
  <r>
    <x v="19"/>
    <x v="4"/>
    <x v="2"/>
    <x v="8"/>
    <x v="4"/>
    <n v="6"/>
    <n v="1575"/>
    <n v="9450"/>
  </r>
  <r>
    <x v="19"/>
    <x v="5"/>
    <x v="2"/>
    <x v="8"/>
    <x v="4"/>
    <n v="7"/>
    <n v="790"/>
    <n v="5530"/>
  </r>
  <r>
    <x v="20"/>
    <x v="0"/>
    <x v="0"/>
    <x v="0"/>
    <x v="0"/>
    <n v="4"/>
    <n v="2001"/>
    <n v="8004"/>
  </r>
  <r>
    <x v="20"/>
    <x v="1"/>
    <x v="1"/>
    <x v="1"/>
    <x v="0"/>
    <n v="47"/>
    <n v="75"/>
    <n v="3525"/>
  </r>
  <r>
    <x v="20"/>
    <x v="2"/>
    <x v="1"/>
    <x v="1"/>
    <x v="0"/>
    <n v="7"/>
    <n v="315"/>
    <n v="2205"/>
  </r>
  <r>
    <x v="20"/>
    <x v="3"/>
    <x v="0"/>
    <x v="0"/>
    <x v="0"/>
    <n v="6"/>
    <n v="1080"/>
    <n v="6480"/>
  </r>
  <r>
    <x v="20"/>
    <x v="4"/>
    <x v="2"/>
    <x v="0"/>
    <x v="0"/>
    <n v="4"/>
    <n v="1575"/>
    <n v="6300"/>
  </r>
  <r>
    <x v="20"/>
    <x v="5"/>
    <x v="2"/>
    <x v="0"/>
    <x v="0"/>
    <n v="11"/>
    <n v="790"/>
    <n v="8690"/>
  </r>
  <r>
    <x v="20"/>
    <x v="0"/>
    <x v="0"/>
    <x v="2"/>
    <x v="1"/>
    <n v="4"/>
    <n v="2001"/>
    <n v="8004"/>
  </r>
  <r>
    <x v="20"/>
    <x v="1"/>
    <x v="1"/>
    <x v="3"/>
    <x v="1"/>
    <n v="56"/>
    <n v="75"/>
    <n v="4200"/>
  </r>
  <r>
    <x v="20"/>
    <x v="2"/>
    <x v="1"/>
    <x v="3"/>
    <x v="1"/>
    <n v="5"/>
    <n v="315"/>
    <n v="1575"/>
  </r>
  <r>
    <x v="20"/>
    <x v="3"/>
    <x v="0"/>
    <x v="2"/>
    <x v="1"/>
    <n v="5"/>
    <n v="1080"/>
    <n v="5400"/>
  </r>
  <r>
    <x v="20"/>
    <x v="4"/>
    <x v="2"/>
    <x v="2"/>
    <x v="1"/>
    <n v="6"/>
    <n v="1575"/>
    <n v="9450"/>
  </r>
  <r>
    <x v="20"/>
    <x v="5"/>
    <x v="2"/>
    <x v="2"/>
    <x v="1"/>
    <n v="11"/>
    <n v="790"/>
    <n v="8690"/>
  </r>
  <r>
    <x v="20"/>
    <x v="0"/>
    <x v="0"/>
    <x v="4"/>
    <x v="2"/>
    <n v="6"/>
    <n v="2001"/>
    <n v="12006"/>
  </r>
  <r>
    <x v="20"/>
    <x v="1"/>
    <x v="1"/>
    <x v="5"/>
    <x v="2"/>
    <n v="43"/>
    <n v="75"/>
    <n v="3225"/>
  </r>
  <r>
    <x v="20"/>
    <x v="2"/>
    <x v="1"/>
    <x v="5"/>
    <x v="2"/>
    <n v="7"/>
    <n v="315"/>
    <n v="2205"/>
  </r>
  <r>
    <x v="20"/>
    <x v="3"/>
    <x v="0"/>
    <x v="4"/>
    <x v="2"/>
    <n v="5"/>
    <n v="1080"/>
    <n v="5400"/>
  </r>
  <r>
    <x v="20"/>
    <x v="4"/>
    <x v="2"/>
    <x v="5"/>
    <x v="2"/>
    <n v="4"/>
    <n v="1575"/>
    <n v="6300"/>
  </r>
  <r>
    <x v="20"/>
    <x v="5"/>
    <x v="2"/>
    <x v="5"/>
    <x v="2"/>
    <n v="10"/>
    <n v="790"/>
    <n v="7900"/>
  </r>
  <r>
    <x v="20"/>
    <x v="0"/>
    <x v="0"/>
    <x v="6"/>
    <x v="3"/>
    <n v="3"/>
    <n v="2001"/>
    <n v="6003"/>
  </r>
  <r>
    <x v="20"/>
    <x v="1"/>
    <x v="1"/>
    <x v="7"/>
    <x v="3"/>
    <n v="53"/>
    <n v="75"/>
    <n v="3975"/>
  </r>
  <r>
    <x v="20"/>
    <x v="2"/>
    <x v="1"/>
    <x v="7"/>
    <x v="3"/>
    <n v="6"/>
    <n v="315"/>
    <n v="1890"/>
  </r>
  <r>
    <x v="20"/>
    <x v="3"/>
    <x v="0"/>
    <x v="6"/>
    <x v="3"/>
    <n v="6"/>
    <n v="1080"/>
    <n v="6480"/>
  </r>
  <r>
    <x v="20"/>
    <x v="4"/>
    <x v="2"/>
    <x v="7"/>
    <x v="3"/>
    <n v="4"/>
    <n v="1575"/>
    <n v="6300"/>
  </r>
  <r>
    <x v="20"/>
    <x v="5"/>
    <x v="2"/>
    <x v="7"/>
    <x v="3"/>
    <n v="8"/>
    <n v="790"/>
    <n v="6320"/>
  </r>
  <r>
    <x v="20"/>
    <x v="0"/>
    <x v="0"/>
    <x v="8"/>
    <x v="4"/>
    <n v="6"/>
    <n v="2001"/>
    <n v="12006"/>
  </r>
  <r>
    <x v="20"/>
    <x v="1"/>
    <x v="1"/>
    <x v="9"/>
    <x v="4"/>
    <n v="48"/>
    <n v="75"/>
    <n v="3600"/>
  </r>
  <r>
    <x v="20"/>
    <x v="2"/>
    <x v="1"/>
    <x v="9"/>
    <x v="4"/>
    <n v="11"/>
    <n v="315"/>
    <n v="3465"/>
  </r>
  <r>
    <x v="20"/>
    <x v="3"/>
    <x v="0"/>
    <x v="8"/>
    <x v="4"/>
    <n v="4"/>
    <n v="1080"/>
    <n v="4320"/>
  </r>
  <r>
    <x v="20"/>
    <x v="4"/>
    <x v="2"/>
    <x v="8"/>
    <x v="4"/>
    <n v="2"/>
    <n v="1575"/>
    <n v="3150"/>
  </r>
  <r>
    <x v="20"/>
    <x v="5"/>
    <x v="2"/>
    <x v="8"/>
    <x v="4"/>
    <n v="6"/>
    <n v="790"/>
    <n v="4740"/>
  </r>
  <r>
    <x v="21"/>
    <x v="0"/>
    <x v="0"/>
    <x v="0"/>
    <x v="0"/>
    <n v="3"/>
    <n v="2001"/>
    <n v="6003"/>
  </r>
  <r>
    <x v="21"/>
    <x v="1"/>
    <x v="1"/>
    <x v="1"/>
    <x v="0"/>
    <n v="56"/>
    <n v="75"/>
    <n v="4200"/>
  </r>
  <r>
    <x v="21"/>
    <x v="2"/>
    <x v="1"/>
    <x v="1"/>
    <x v="0"/>
    <n v="6"/>
    <n v="315"/>
    <n v="1890"/>
  </r>
  <r>
    <x v="21"/>
    <x v="3"/>
    <x v="0"/>
    <x v="0"/>
    <x v="0"/>
    <n v="3"/>
    <n v="1080"/>
    <n v="3240"/>
  </r>
  <r>
    <x v="21"/>
    <x v="4"/>
    <x v="2"/>
    <x v="0"/>
    <x v="0"/>
    <n v="4"/>
    <n v="1575"/>
    <n v="6300"/>
  </r>
  <r>
    <x v="21"/>
    <x v="5"/>
    <x v="2"/>
    <x v="0"/>
    <x v="0"/>
    <n v="6"/>
    <n v="790"/>
    <n v="4740"/>
  </r>
  <r>
    <x v="21"/>
    <x v="0"/>
    <x v="0"/>
    <x v="2"/>
    <x v="1"/>
    <n v="6"/>
    <n v="2001"/>
    <n v="12006"/>
  </r>
  <r>
    <x v="21"/>
    <x v="1"/>
    <x v="1"/>
    <x v="3"/>
    <x v="1"/>
    <n v="31"/>
    <n v="75"/>
    <n v="2325"/>
  </r>
  <r>
    <x v="21"/>
    <x v="2"/>
    <x v="1"/>
    <x v="3"/>
    <x v="1"/>
    <n v="12"/>
    <n v="315"/>
    <n v="3780"/>
  </r>
  <r>
    <x v="21"/>
    <x v="3"/>
    <x v="0"/>
    <x v="2"/>
    <x v="1"/>
    <n v="4"/>
    <n v="1080"/>
    <n v="4320"/>
  </r>
  <r>
    <x v="21"/>
    <x v="4"/>
    <x v="2"/>
    <x v="2"/>
    <x v="1"/>
    <n v="5"/>
    <n v="1575"/>
    <n v="7875"/>
  </r>
  <r>
    <x v="21"/>
    <x v="5"/>
    <x v="2"/>
    <x v="2"/>
    <x v="1"/>
    <n v="7"/>
    <n v="790"/>
    <n v="5530"/>
  </r>
  <r>
    <x v="21"/>
    <x v="0"/>
    <x v="0"/>
    <x v="4"/>
    <x v="2"/>
    <n v="4"/>
    <n v="2001"/>
    <n v="8004"/>
  </r>
  <r>
    <x v="21"/>
    <x v="1"/>
    <x v="1"/>
    <x v="5"/>
    <x v="2"/>
    <n v="32"/>
    <n v="75"/>
    <n v="2400"/>
  </r>
  <r>
    <x v="21"/>
    <x v="2"/>
    <x v="1"/>
    <x v="5"/>
    <x v="2"/>
    <n v="6"/>
    <n v="315"/>
    <n v="1890"/>
  </r>
  <r>
    <x v="21"/>
    <x v="3"/>
    <x v="0"/>
    <x v="4"/>
    <x v="2"/>
    <n v="3"/>
    <n v="1080"/>
    <n v="3240"/>
  </r>
  <r>
    <x v="21"/>
    <x v="4"/>
    <x v="2"/>
    <x v="5"/>
    <x v="2"/>
    <n v="5"/>
    <n v="1575"/>
    <n v="7875"/>
  </r>
  <r>
    <x v="21"/>
    <x v="5"/>
    <x v="2"/>
    <x v="5"/>
    <x v="2"/>
    <n v="11"/>
    <n v="790"/>
    <n v="8690"/>
  </r>
  <r>
    <x v="21"/>
    <x v="0"/>
    <x v="0"/>
    <x v="6"/>
    <x v="3"/>
    <n v="6"/>
    <n v="2001"/>
    <n v="12006"/>
  </r>
  <r>
    <x v="21"/>
    <x v="1"/>
    <x v="1"/>
    <x v="7"/>
    <x v="3"/>
    <n v="39"/>
    <n v="75"/>
    <n v="2925"/>
  </r>
  <r>
    <x v="21"/>
    <x v="2"/>
    <x v="1"/>
    <x v="7"/>
    <x v="3"/>
    <n v="13"/>
    <n v="315"/>
    <n v="4095"/>
  </r>
  <r>
    <x v="21"/>
    <x v="3"/>
    <x v="0"/>
    <x v="6"/>
    <x v="3"/>
    <n v="4"/>
    <n v="1080"/>
    <n v="4320"/>
  </r>
  <r>
    <x v="21"/>
    <x v="4"/>
    <x v="2"/>
    <x v="7"/>
    <x v="3"/>
    <n v="5"/>
    <n v="1575"/>
    <n v="7875"/>
  </r>
  <r>
    <x v="21"/>
    <x v="5"/>
    <x v="2"/>
    <x v="7"/>
    <x v="3"/>
    <n v="6"/>
    <n v="790"/>
    <n v="4740"/>
  </r>
  <r>
    <x v="21"/>
    <x v="0"/>
    <x v="0"/>
    <x v="8"/>
    <x v="4"/>
    <n v="4"/>
    <n v="2001"/>
    <n v="8004"/>
  </r>
  <r>
    <x v="21"/>
    <x v="1"/>
    <x v="1"/>
    <x v="9"/>
    <x v="4"/>
    <n v="54"/>
    <n v="75"/>
    <n v="4050"/>
  </r>
  <r>
    <x v="21"/>
    <x v="2"/>
    <x v="1"/>
    <x v="9"/>
    <x v="4"/>
    <n v="5"/>
    <n v="315"/>
    <n v="1575"/>
  </r>
  <r>
    <x v="21"/>
    <x v="3"/>
    <x v="0"/>
    <x v="8"/>
    <x v="4"/>
    <n v="5"/>
    <n v="1080"/>
    <n v="5400"/>
  </r>
  <r>
    <x v="21"/>
    <x v="4"/>
    <x v="2"/>
    <x v="8"/>
    <x v="4"/>
    <n v="2"/>
    <n v="1575"/>
    <n v="3150"/>
  </r>
  <r>
    <x v="21"/>
    <x v="5"/>
    <x v="2"/>
    <x v="8"/>
    <x v="4"/>
    <n v="6"/>
    <n v="790"/>
    <n v="4740"/>
  </r>
  <r>
    <x v="22"/>
    <x v="0"/>
    <x v="0"/>
    <x v="0"/>
    <x v="0"/>
    <n v="4"/>
    <n v="2001"/>
    <n v="8004"/>
  </r>
  <r>
    <x v="22"/>
    <x v="1"/>
    <x v="1"/>
    <x v="1"/>
    <x v="0"/>
    <n v="42"/>
    <n v="75"/>
    <n v="3150"/>
  </r>
  <r>
    <x v="22"/>
    <x v="2"/>
    <x v="1"/>
    <x v="1"/>
    <x v="0"/>
    <n v="9"/>
    <n v="315"/>
    <n v="2835"/>
  </r>
  <r>
    <x v="22"/>
    <x v="3"/>
    <x v="0"/>
    <x v="0"/>
    <x v="0"/>
    <n v="4"/>
    <n v="1080"/>
    <n v="4320"/>
  </r>
  <r>
    <x v="22"/>
    <x v="4"/>
    <x v="2"/>
    <x v="0"/>
    <x v="0"/>
    <n v="6"/>
    <n v="1575"/>
    <n v="9450"/>
  </r>
  <r>
    <x v="22"/>
    <x v="5"/>
    <x v="2"/>
    <x v="0"/>
    <x v="0"/>
    <n v="7"/>
    <n v="790"/>
    <n v="5530"/>
  </r>
  <r>
    <x v="22"/>
    <x v="0"/>
    <x v="0"/>
    <x v="2"/>
    <x v="1"/>
    <n v="6"/>
    <n v="2001"/>
    <n v="12006"/>
  </r>
  <r>
    <x v="22"/>
    <x v="1"/>
    <x v="1"/>
    <x v="3"/>
    <x v="1"/>
    <n v="46"/>
    <n v="75"/>
    <n v="3450"/>
  </r>
  <r>
    <x v="22"/>
    <x v="2"/>
    <x v="1"/>
    <x v="3"/>
    <x v="1"/>
    <n v="7"/>
    <n v="315"/>
    <n v="2205"/>
  </r>
  <r>
    <x v="22"/>
    <x v="3"/>
    <x v="0"/>
    <x v="2"/>
    <x v="1"/>
    <n v="5"/>
    <n v="1080"/>
    <n v="5400"/>
  </r>
  <r>
    <x v="22"/>
    <x v="4"/>
    <x v="2"/>
    <x v="2"/>
    <x v="1"/>
    <n v="4"/>
    <n v="1575"/>
    <n v="6300"/>
  </r>
  <r>
    <x v="22"/>
    <x v="5"/>
    <x v="2"/>
    <x v="2"/>
    <x v="1"/>
    <n v="8"/>
    <n v="790"/>
    <n v="6320"/>
  </r>
  <r>
    <x v="22"/>
    <x v="0"/>
    <x v="0"/>
    <x v="4"/>
    <x v="2"/>
    <n v="5"/>
    <n v="2001"/>
    <n v="10005"/>
  </r>
  <r>
    <x v="22"/>
    <x v="1"/>
    <x v="1"/>
    <x v="5"/>
    <x v="2"/>
    <n v="34"/>
    <n v="75"/>
    <n v="2550"/>
  </r>
  <r>
    <x v="22"/>
    <x v="2"/>
    <x v="1"/>
    <x v="5"/>
    <x v="2"/>
    <n v="8"/>
    <n v="315"/>
    <n v="2520"/>
  </r>
  <r>
    <x v="22"/>
    <x v="3"/>
    <x v="0"/>
    <x v="4"/>
    <x v="2"/>
    <n v="5"/>
    <n v="1080"/>
    <n v="5400"/>
  </r>
  <r>
    <x v="22"/>
    <x v="4"/>
    <x v="2"/>
    <x v="5"/>
    <x v="2"/>
    <n v="4"/>
    <n v="1575"/>
    <n v="6300"/>
  </r>
  <r>
    <x v="22"/>
    <x v="5"/>
    <x v="2"/>
    <x v="5"/>
    <x v="2"/>
    <n v="8"/>
    <n v="790"/>
    <n v="6320"/>
  </r>
  <r>
    <x v="22"/>
    <x v="0"/>
    <x v="0"/>
    <x v="6"/>
    <x v="3"/>
    <n v="5"/>
    <n v="2001"/>
    <n v="10005"/>
  </r>
  <r>
    <x v="22"/>
    <x v="1"/>
    <x v="1"/>
    <x v="7"/>
    <x v="3"/>
    <n v="54"/>
    <n v="75"/>
    <n v="4050"/>
  </r>
  <r>
    <x v="22"/>
    <x v="2"/>
    <x v="1"/>
    <x v="7"/>
    <x v="3"/>
    <n v="12"/>
    <n v="315"/>
    <n v="3780"/>
  </r>
  <r>
    <x v="22"/>
    <x v="3"/>
    <x v="0"/>
    <x v="6"/>
    <x v="3"/>
    <n v="2"/>
    <n v="1080"/>
    <n v="2160"/>
  </r>
  <r>
    <x v="22"/>
    <x v="4"/>
    <x v="2"/>
    <x v="7"/>
    <x v="3"/>
    <n v="4"/>
    <n v="1575"/>
    <n v="6300"/>
  </r>
  <r>
    <x v="22"/>
    <x v="5"/>
    <x v="2"/>
    <x v="7"/>
    <x v="3"/>
    <n v="9"/>
    <n v="790"/>
    <n v="7110"/>
  </r>
  <r>
    <x v="22"/>
    <x v="0"/>
    <x v="0"/>
    <x v="8"/>
    <x v="4"/>
    <n v="6"/>
    <n v="2001"/>
    <n v="12006"/>
  </r>
  <r>
    <x v="22"/>
    <x v="1"/>
    <x v="1"/>
    <x v="9"/>
    <x v="4"/>
    <n v="53"/>
    <n v="75"/>
    <n v="3975"/>
  </r>
  <r>
    <x v="22"/>
    <x v="2"/>
    <x v="1"/>
    <x v="9"/>
    <x v="4"/>
    <n v="12"/>
    <n v="315"/>
    <n v="3780"/>
  </r>
  <r>
    <x v="22"/>
    <x v="3"/>
    <x v="0"/>
    <x v="8"/>
    <x v="4"/>
    <n v="6"/>
    <n v="1080"/>
    <n v="6480"/>
  </r>
  <r>
    <x v="22"/>
    <x v="4"/>
    <x v="2"/>
    <x v="8"/>
    <x v="4"/>
    <n v="5"/>
    <n v="1575"/>
    <n v="7875"/>
  </r>
  <r>
    <x v="22"/>
    <x v="5"/>
    <x v="2"/>
    <x v="8"/>
    <x v="4"/>
    <n v="7"/>
    <n v="790"/>
    <n v="5530"/>
  </r>
  <r>
    <x v="23"/>
    <x v="0"/>
    <x v="0"/>
    <x v="0"/>
    <x v="0"/>
    <n v="4"/>
    <n v="2001"/>
    <n v="8004"/>
  </r>
  <r>
    <x v="23"/>
    <x v="1"/>
    <x v="1"/>
    <x v="1"/>
    <x v="0"/>
    <n v="49"/>
    <n v="75"/>
    <n v="3675"/>
  </r>
  <r>
    <x v="23"/>
    <x v="2"/>
    <x v="1"/>
    <x v="1"/>
    <x v="0"/>
    <n v="7"/>
    <n v="315"/>
    <n v="2205"/>
  </r>
  <r>
    <x v="23"/>
    <x v="3"/>
    <x v="0"/>
    <x v="0"/>
    <x v="0"/>
    <n v="2"/>
    <n v="1080"/>
    <n v="2160"/>
  </r>
  <r>
    <x v="23"/>
    <x v="4"/>
    <x v="2"/>
    <x v="0"/>
    <x v="0"/>
    <n v="6"/>
    <n v="1575"/>
    <n v="9450"/>
  </r>
  <r>
    <x v="23"/>
    <x v="5"/>
    <x v="2"/>
    <x v="0"/>
    <x v="0"/>
    <n v="7"/>
    <n v="790"/>
    <n v="5530"/>
  </r>
  <r>
    <x v="23"/>
    <x v="0"/>
    <x v="0"/>
    <x v="2"/>
    <x v="1"/>
    <n v="3"/>
    <n v="2001"/>
    <n v="6003"/>
  </r>
  <r>
    <x v="23"/>
    <x v="1"/>
    <x v="1"/>
    <x v="3"/>
    <x v="1"/>
    <n v="35"/>
    <n v="75"/>
    <n v="2625"/>
  </r>
  <r>
    <x v="23"/>
    <x v="2"/>
    <x v="1"/>
    <x v="3"/>
    <x v="1"/>
    <n v="9"/>
    <n v="315"/>
    <n v="2835"/>
  </r>
  <r>
    <x v="23"/>
    <x v="3"/>
    <x v="0"/>
    <x v="2"/>
    <x v="1"/>
    <n v="6"/>
    <n v="1080"/>
    <n v="6480"/>
  </r>
  <r>
    <x v="23"/>
    <x v="4"/>
    <x v="2"/>
    <x v="2"/>
    <x v="1"/>
    <n v="3"/>
    <n v="1575"/>
    <n v="4725"/>
  </r>
  <r>
    <x v="23"/>
    <x v="5"/>
    <x v="2"/>
    <x v="2"/>
    <x v="1"/>
    <n v="5"/>
    <n v="790"/>
    <n v="3950"/>
  </r>
  <r>
    <x v="23"/>
    <x v="0"/>
    <x v="0"/>
    <x v="4"/>
    <x v="2"/>
    <n v="4"/>
    <n v="2001"/>
    <n v="8004"/>
  </r>
  <r>
    <x v="23"/>
    <x v="1"/>
    <x v="1"/>
    <x v="4"/>
    <x v="2"/>
    <n v="51"/>
    <n v="75"/>
    <n v="3825"/>
  </r>
  <r>
    <x v="23"/>
    <x v="2"/>
    <x v="1"/>
    <x v="4"/>
    <x v="2"/>
    <n v="10"/>
    <n v="315"/>
    <n v="3150"/>
  </r>
  <r>
    <x v="23"/>
    <x v="3"/>
    <x v="0"/>
    <x v="4"/>
    <x v="2"/>
    <n v="6"/>
    <n v="1080"/>
    <n v="6480"/>
  </r>
  <r>
    <x v="23"/>
    <x v="4"/>
    <x v="2"/>
    <x v="5"/>
    <x v="2"/>
    <n v="4"/>
    <n v="1575"/>
    <n v="6300"/>
  </r>
  <r>
    <x v="23"/>
    <x v="5"/>
    <x v="2"/>
    <x v="5"/>
    <x v="2"/>
    <n v="6"/>
    <n v="790"/>
    <n v="4740"/>
  </r>
  <r>
    <x v="23"/>
    <x v="0"/>
    <x v="0"/>
    <x v="6"/>
    <x v="3"/>
    <n v="4"/>
    <n v="2001"/>
    <n v="8004"/>
  </r>
  <r>
    <x v="23"/>
    <x v="1"/>
    <x v="1"/>
    <x v="7"/>
    <x v="3"/>
    <n v="43"/>
    <n v="75"/>
    <n v="3225"/>
  </r>
  <r>
    <x v="23"/>
    <x v="2"/>
    <x v="1"/>
    <x v="7"/>
    <x v="3"/>
    <n v="9"/>
    <n v="315"/>
    <n v="2835"/>
  </r>
  <r>
    <x v="23"/>
    <x v="3"/>
    <x v="0"/>
    <x v="6"/>
    <x v="3"/>
    <n v="6"/>
    <n v="1080"/>
    <n v="6480"/>
  </r>
  <r>
    <x v="23"/>
    <x v="4"/>
    <x v="2"/>
    <x v="7"/>
    <x v="3"/>
    <n v="6"/>
    <n v="1575"/>
    <n v="9450"/>
  </r>
  <r>
    <x v="23"/>
    <x v="5"/>
    <x v="2"/>
    <x v="7"/>
    <x v="3"/>
    <n v="10"/>
    <n v="790"/>
    <n v="7900"/>
  </r>
  <r>
    <x v="23"/>
    <x v="0"/>
    <x v="0"/>
    <x v="8"/>
    <x v="4"/>
    <n v="3"/>
    <n v="2001"/>
    <n v="6003"/>
  </r>
  <r>
    <x v="23"/>
    <x v="1"/>
    <x v="1"/>
    <x v="9"/>
    <x v="4"/>
    <n v="51"/>
    <n v="75"/>
    <n v="3825"/>
  </r>
  <r>
    <x v="23"/>
    <x v="2"/>
    <x v="1"/>
    <x v="9"/>
    <x v="4"/>
    <n v="8"/>
    <n v="315"/>
    <n v="2520"/>
  </r>
  <r>
    <x v="23"/>
    <x v="3"/>
    <x v="0"/>
    <x v="8"/>
    <x v="4"/>
    <n v="2"/>
    <n v="1080"/>
    <n v="2160"/>
  </r>
  <r>
    <x v="23"/>
    <x v="4"/>
    <x v="2"/>
    <x v="8"/>
    <x v="4"/>
    <n v="4"/>
    <n v="1575"/>
    <n v="6300"/>
  </r>
  <r>
    <x v="23"/>
    <x v="5"/>
    <x v="2"/>
    <x v="8"/>
    <x v="4"/>
    <n v="9"/>
    <n v="790"/>
    <n v="7110"/>
  </r>
  <r>
    <x v="24"/>
    <x v="0"/>
    <x v="0"/>
    <x v="0"/>
    <x v="0"/>
    <n v="6"/>
    <n v="2001"/>
    <n v="12006"/>
  </r>
  <r>
    <x v="24"/>
    <x v="1"/>
    <x v="1"/>
    <x v="1"/>
    <x v="0"/>
    <n v="43"/>
    <n v="75"/>
    <n v="3225"/>
  </r>
  <r>
    <x v="24"/>
    <x v="2"/>
    <x v="1"/>
    <x v="1"/>
    <x v="0"/>
    <n v="11"/>
    <n v="315"/>
    <n v="3465"/>
  </r>
  <r>
    <x v="24"/>
    <x v="3"/>
    <x v="0"/>
    <x v="1"/>
    <x v="0"/>
    <n v="6"/>
    <n v="1080"/>
    <n v="6480"/>
  </r>
  <r>
    <x v="24"/>
    <x v="4"/>
    <x v="2"/>
    <x v="0"/>
    <x v="0"/>
    <n v="2"/>
    <n v="1575"/>
    <n v="3150"/>
  </r>
  <r>
    <x v="24"/>
    <x v="5"/>
    <x v="2"/>
    <x v="0"/>
    <x v="0"/>
    <n v="7"/>
    <n v="790"/>
    <n v="5530"/>
  </r>
  <r>
    <x v="24"/>
    <x v="0"/>
    <x v="0"/>
    <x v="2"/>
    <x v="1"/>
    <n v="5"/>
    <n v="2001"/>
    <n v="10005"/>
  </r>
  <r>
    <x v="24"/>
    <x v="1"/>
    <x v="1"/>
    <x v="3"/>
    <x v="1"/>
    <n v="42"/>
    <n v="75"/>
    <n v="3150"/>
  </r>
  <r>
    <x v="24"/>
    <x v="2"/>
    <x v="1"/>
    <x v="3"/>
    <x v="1"/>
    <n v="6"/>
    <n v="315"/>
    <n v="1890"/>
  </r>
  <r>
    <x v="24"/>
    <x v="3"/>
    <x v="0"/>
    <x v="2"/>
    <x v="1"/>
    <n v="2"/>
    <n v="1080"/>
    <n v="2160"/>
  </r>
  <r>
    <x v="24"/>
    <x v="4"/>
    <x v="2"/>
    <x v="3"/>
    <x v="1"/>
    <n v="3"/>
    <n v="1575"/>
    <n v="4725"/>
  </r>
  <r>
    <x v="24"/>
    <x v="5"/>
    <x v="2"/>
    <x v="3"/>
    <x v="1"/>
    <n v="11"/>
    <n v="790"/>
    <n v="8690"/>
  </r>
  <r>
    <x v="24"/>
    <x v="0"/>
    <x v="0"/>
    <x v="4"/>
    <x v="2"/>
    <n v="4"/>
    <n v="2001"/>
    <n v="8004"/>
  </r>
  <r>
    <x v="24"/>
    <x v="1"/>
    <x v="1"/>
    <x v="4"/>
    <x v="2"/>
    <n v="56"/>
    <n v="75"/>
    <n v="4200"/>
  </r>
  <r>
    <x v="24"/>
    <x v="2"/>
    <x v="1"/>
    <x v="4"/>
    <x v="2"/>
    <n v="9"/>
    <n v="315"/>
    <n v="2835"/>
  </r>
  <r>
    <x v="24"/>
    <x v="3"/>
    <x v="0"/>
    <x v="4"/>
    <x v="2"/>
    <n v="3"/>
    <n v="1080"/>
    <n v="3240"/>
  </r>
  <r>
    <x v="24"/>
    <x v="4"/>
    <x v="2"/>
    <x v="5"/>
    <x v="2"/>
    <n v="4"/>
    <n v="1575"/>
    <n v="6300"/>
  </r>
  <r>
    <x v="24"/>
    <x v="5"/>
    <x v="2"/>
    <x v="5"/>
    <x v="2"/>
    <n v="11"/>
    <n v="790"/>
    <n v="8690"/>
  </r>
  <r>
    <x v="24"/>
    <x v="0"/>
    <x v="0"/>
    <x v="6"/>
    <x v="3"/>
    <n v="6"/>
    <n v="2001"/>
    <n v="12006"/>
  </r>
  <r>
    <x v="24"/>
    <x v="1"/>
    <x v="1"/>
    <x v="7"/>
    <x v="3"/>
    <n v="53"/>
    <n v="75"/>
    <n v="3975"/>
  </r>
  <r>
    <x v="24"/>
    <x v="2"/>
    <x v="1"/>
    <x v="7"/>
    <x v="3"/>
    <n v="13"/>
    <n v="315"/>
    <n v="4095"/>
  </r>
  <r>
    <x v="24"/>
    <x v="3"/>
    <x v="0"/>
    <x v="6"/>
    <x v="3"/>
    <n v="2"/>
    <n v="1080"/>
    <n v="2160"/>
  </r>
  <r>
    <x v="24"/>
    <x v="4"/>
    <x v="2"/>
    <x v="7"/>
    <x v="3"/>
    <n v="6"/>
    <n v="1575"/>
    <n v="9450"/>
  </r>
  <r>
    <x v="24"/>
    <x v="5"/>
    <x v="2"/>
    <x v="7"/>
    <x v="3"/>
    <n v="6"/>
    <n v="790"/>
    <n v="4740"/>
  </r>
  <r>
    <x v="24"/>
    <x v="0"/>
    <x v="0"/>
    <x v="8"/>
    <x v="4"/>
    <n v="3"/>
    <n v="2001"/>
    <n v="6003"/>
  </r>
  <r>
    <x v="24"/>
    <x v="1"/>
    <x v="1"/>
    <x v="9"/>
    <x v="4"/>
    <n v="37"/>
    <n v="75"/>
    <n v="2775"/>
  </r>
  <r>
    <x v="24"/>
    <x v="2"/>
    <x v="1"/>
    <x v="9"/>
    <x v="4"/>
    <n v="12"/>
    <n v="315"/>
    <n v="3780"/>
  </r>
  <r>
    <x v="24"/>
    <x v="3"/>
    <x v="0"/>
    <x v="8"/>
    <x v="4"/>
    <n v="6"/>
    <n v="1080"/>
    <n v="6480"/>
  </r>
  <r>
    <x v="24"/>
    <x v="4"/>
    <x v="2"/>
    <x v="8"/>
    <x v="4"/>
    <n v="4"/>
    <n v="1575"/>
    <n v="6300"/>
  </r>
  <r>
    <x v="24"/>
    <x v="5"/>
    <x v="2"/>
    <x v="8"/>
    <x v="4"/>
    <n v="10"/>
    <n v="790"/>
    <n v="7900"/>
  </r>
  <r>
    <x v="25"/>
    <x v="0"/>
    <x v="0"/>
    <x v="1"/>
    <x v="0"/>
    <n v="3"/>
    <n v="2001"/>
    <n v="6003"/>
  </r>
  <r>
    <x v="25"/>
    <x v="1"/>
    <x v="1"/>
    <x v="1"/>
    <x v="0"/>
    <n v="38"/>
    <n v="75"/>
    <n v="2850"/>
  </r>
  <r>
    <x v="25"/>
    <x v="2"/>
    <x v="1"/>
    <x v="1"/>
    <x v="0"/>
    <n v="14"/>
    <n v="315"/>
    <n v="4410"/>
  </r>
  <r>
    <x v="25"/>
    <x v="3"/>
    <x v="0"/>
    <x v="1"/>
    <x v="0"/>
    <n v="6"/>
    <n v="1080"/>
    <n v="6480"/>
  </r>
  <r>
    <x v="25"/>
    <x v="4"/>
    <x v="2"/>
    <x v="0"/>
    <x v="0"/>
    <n v="3"/>
    <n v="1575"/>
    <n v="4725"/>
  </r>
  <r>
    <x v="25"/>
    <x v="5"/>
    <x v="2"/>
    <x v="0"/>
    <x v="0"/>
    <n v="11"/>
    <n v="790"/>
    <n v="8690"/>
  </r>
  <r>
    <x v="25"/>
    <x v="0"/>
    <x v="0"/>
    <x v="2"/>
    <x v="1"/>
    <n v="5"/>
    <n v="2001"/>
    <n v="10005"/>
  </r>
  <r>
    <x v="25"/>
    <x v="1"/>
    <x v="1"/>
    <x v="3"/>
    <x v="1"/>
    <n v="44"/>
    <n v="75"/>
    <n v="3300"/>
  </r>
  <r>
    <x v="25"/>
    <x v="2"/>
    <x v="1"/>
    <x v="3"/>
    <x v="1"/>
    <n v="11"/>
    <n v="315"/>
    <n v="3465"/>
  </r>
  <r>
    <x v="25"/>
    <x v="3"/>
    <x v="0"/>
    <x v="2"/>
    <x v="1"/>
    <n v="5"/>
    <n v="1080"/>
    <n v="5400"/>
  </r>
  <r>
    <x v="25"/>
    <x v="4"/>
    <x v="2"/>
    <x v="3"/>
    <x v="1"/>
    <n v="5"/>
    <n v="1575"/>
    <n v="7875"/>
  </r>
  <r>
    <x v="25"/>
    <x v="5"/>
    <x v="2"/>
    <x v="3"/>
    <x v="1"/>
    <n v="7"/>
    <n v="790"/>
    <n v="5530"/>
  </r>
  <r>
    <x v="25"/>
    <x v="0"/>
    <x v="0"/>
    <x v="4"/>
    <x v="2"/>
    <n v="3"/>
    <n v="2001"/>
    <n v="6003"/>
  </r>
  <r>
    <x v="25"/>
    <x v="1"/>
    <x v="1"/>
    <x v="4"/>
    <x v="2"/>
    <n v="56"/>
    <n v="75"/>
    <n v="4200"/>
  </r>
  <r>
    <x v="25"/>
    <x v="2"/>
    <x v="1"/>
    <x v="4"/>
    <x v="2"/>
    <n v="7"/>
    <n v="315"/>
    <n v="2205"/>
  </r>
  <r>
    <x v="25"/>
    <x v="3"/>
    <x v="0"/>
    <x v="4"/>
    <x v="2"/>
    <n v="5"/>
    <n v="1080"/>
    <n v="5400"/>
  </r>
  <r>
    <x v="25"/>
    <x v="4"/>
    <x v="2"/>
    <x v="5"/>
    <x v="2"/>
    <n v="6"/>
    <n v="1575"/>
    <n v="9450"/>
  </r>
  <r>
    <x v="25"/>
    <x v="5"/>
    <x v="2"/>
    <x v="5"/>
    <x v="2"/>
    <n v="8"/>
    <n v="790"/>
    <n v="6320"/>
  </r>
  <r>
    <x v="25"/>
    <x v="0"/>
    <x v="0"/>
    <x v="6"/>
    <x v="3"/>
    <n v="6"/>
    <n v="2001"/>
    <n v="12006"/>
  </r>
  <r>
    <x v="25"/>
    <x v="1"/>
    <x v="1"/>
    <x v="7"/>
    <x v="3"/>
    <n v="45"/>
    <n v="75"/>
    <n v="3375"/>
  </r>
  <r>
    <x v="25"/>
    <x v="2"/>
    <x v="1"/>
    <x v="7"/>
    <x v="3"/>
    <n v="5"/>
    <n v="315"/>
    <n v="1575"/>
  </r>
  <r>
    <x v="25"/>
    <x v="3"/>
    <x v="0"/>
    <x v="6"/>
    <x v="3"/>
    <n v="2"/>
    <n v="1080"/>
    <n v="2160"/>
  </r>
  <r>
    <x v="25"/>
    <x v="4"/>
    <x v="2"/>
    <x v="7"/>
    <x v="3"/>
    <n v="5"/>
    <n v="1575"/>
    <n v="7875"/>
  </r>
  <r>
    <x v="25"/>
    <x v="5"/>
    <x v="2"/>
    <x v="7"/>
    <x v="3"/>
    <n v="5"/>
    <n v="790"/>
    <n v="3950"/>
  </r>
  <r>
    <x v="25"/>
    <x v="0"/>
    <x v="0"/>
    <x v="8"/>
    <x v="4"/>
    <n v="6"/>
    <n v="2001"/>
    <n v="12006"/>
  </r>
  <r>
    <x v="25"/>
    <x v="1"/>
    <x v="1"/>
    <x v="9"/>
    <x v="4"/>
    <n v="37"/>
    <n v="75"/>
    <n v="2775"/>
  </r>
  <r>
    <x v="25"/>
    <x v="2"/>
    <x v="1"/>
    <x v="9"/>
    <x v="4"/>
    <n v="14"/>
    <n v="315"/>
    <n v="4410"/>
  </r>
  <r>
    <x v="25"/>
    <x v="3"/>
    <x v="0"/>
    <x v="8"/>
    <x v="4"/>
    <n v="4"/>
    <n v="1080"/>
    <n v="4320"/>
  </r>
  <r>
    <x v="25"/>
    <x v="4"/>
    <x v="2"/>
    <x v="8"/>
    <x v="4"/>
    <n v="4"/>
    <n v="1575"/>
    <n v="6300"/>
  </r>
  <r>
    <x v="25"/>
    <x v="5"/>
    <x v="2"/>
    <x v="8"/>
    <x v="4"/>
    <n v="11"/>
    <n v="790"/>
    <n v="8690"/>
  </r>
  <r>
    <x v="26"/>
    <x v="0"/>
    <x v="0"/>
    <x v="1"/>
    <x v="0"/>
    <n v="6"/>
    <n v="2001"/>
    <n v="12006"/>
  </r>
  <r>
    <x v="26"/>
    <x v="1"/>
    <x v="1"/>
    <x v="1"/>
    <x v="0"/>
    <n v="60"/>
    <n v="75"/>
    <n v="4500"/>
  </r>
  <r>
    <x v="26"/>
    <x v="2"/>
    <x v="1"/>
    <x v="1"/>
    <x v="0"/>
    <n v="6"/>
    <n v="315"/>
    <n v="1890"/>
  </r>
  <r>
    <x v="26"/>
    <x v="3"/>
    <x v="0"/>
    <x v="1"/>
    <x v="0"/>
    <n v="6"/>
    <n v="1080"/>
    <n v="6480"/>
  </r>
  <r>
    <x v="26"/>
    <x v="4"/>
    <x v="2"/>
    <x v="0"/>
    <x v="0"/>
    <n v="3"/>
    <n v="1575"/>
    <n v="4725"/>
  </r>
  <r>
    <x v="26"/>
    <x v="5"/>
    <x v="2"/>
    <x v="0"/>
    <x v="0"/>
    <n v="7"/>
    <n v="790"/>
    <n v="5530"/>
  </r>
  <r>
    <x v="26"/>
    <x v="0"/>
    <x v="0"/>
    <x v="2"/>
    <x v="1"/>
    <n v="4"/>
    <n v="2001"/>
    <n v="8004"/>
  </r>
  <r>
    <x v="26"/>
    <x v="1"/>
    <x v="1"/>
    <x v="3"/>
    <x v="1"/>
    <n v="32"/>
    <n v="75"/>
    <n v="2400"/>
  </r>
  <r>
    <x v="26"/>
    <x v="2"/>
    <x v="1"/>
    <x v="3"/>
    <x v="1"/>
    <n v="7"/>
    <n v="315"/>
    <n v="2205"/>
  </r>
  <r>
    <x v="26"/>
    <x v="3"/>
    <x v="0"/>
    <x v="2"/>
    <x v="1"/>
    <n v="3"/>
    <n v="1080"/>
    <n v="3240"/>
  </r>
  <r>
    <x v="26"/>
    <x v="4"/>
    <x v="2"/>
    <x v="3"/>
    <x v="1"/>
    <n v="2"/>
    <n v="1575"/>
    <n v="3150"/>
  </r>
  <r>
    <x v="26"/>
    <x v="5"/>
    <x v="2"/>
    <x v="3"/>
    <x v="1"/>
    <n v="6"/>
    <n v="790"/>
    <n v="4740"/>
  </r>
  <r>
    <x v="26"/>
    <x v="0"/>
    <x v="0"/>
    <x v="4"/>
    <x v="2"/>
    <n v="5"/>
    <n v="2001"/>
    <n v="10005"/>
  </r>
  <r>
    <x v="26"/>
    <x v="1"/>
    <x v="1"/>
    <x v="4"/>
    <x v="2"/>
    <n v="33"/>
    <n v="75"/>
    <n v="2475"/>
  </r>
  <r>
    <x v="26"/>
    <x v="2"/>
    <x v="1"/>
    <x v="4"/>
    <x v="2"/>
    <n v="7"/>
    <n v="315"/>
    <n v="2205"/>
  </r>
  <r>
    <x v="26"/>
    <x v="3"/>
    <x v="0"/>
    <x v="4"/>
    <x v="2"/>
    <n v="5"/>
    <n v="1080"/>
    <n v="5400"/>
  </r>
  <r>
    <x v="26"/>
    <x v="4"/>
    <x v="2"/>
    <x v="5"/>
    <x v="2"/>
    <n v="4"/>
    <n v="1575"/>
    <n v="6300"/>
  </r>
  <r>
    <x v="26"/>
    <x v="5"/>
    <x v="2"/>
    <x v="5"/>
    <x v="2"/>
    <n v="7"/>
    <n v="790"/>
    <n v="5530"/>
  </r>
  <r>
    <x v="26"/>
    <x v="0"/>
    <x v="0"/>
    <x v="6"/>
    <x v="3"/>
    <n v="4"/>
    <n v="2001"/>
    <n v="8004"/>
  </r>
  <r>
    <x v="26"/>
    <x v="1"/>
    <x v="1"/>
    <x v="7"/>
    <x v="3"/>
    <n v="54"/>
    <n v="75"/>
    <n v="4050"/>
  </r>
  <r>
    <x v="26"/>
    <x v="2"/>
    <x v="1"/>
    <x v="6"/>
    <x v="3"/>
    <n v="12"/>
    <n v="315"/>
    <n v="3780"/>
  </r>
  <r>
    <x v="26"/>
    <x v="3"/>
    <x v="0"/>
    <x v="6"/>
    <x v="3"/>
    <n v="4"/>
    <n v="1080"/>
    <n v="4320"/>
  </r>
  <r>
    <x v="26"/>
    <x v="4"/>
    <x v="2"/>
    <x v="7"/>
    <x v="3"/>
    <n v="4"/>
    <n v="1575"/>
    <n v="6300"/>
  </r>
  <r>
    <x v="26"/>
    <x v="5"/>
    <x v="2"/>
    <x v="7"/>
    <x v="3"/>
    <n v="9"/>
    <n v="790"/>
    <n v="7110"/>
  </r>
  <r>
    <x v="26"/>
    <x v="0"/>
    <x v="0"/>
    <x v="8"/>
    <x v="4"/>
    <n v="4"/>
    <n v="2001"/>
    <n v="8004"/>
  </r>
  <r>
    <x v="26"/>
    <x v="1"/>
    <x v="1"/>
    <x v="9"/>
    <x v="4"/>
    <n v="52"/>
    <n v="75"/>
    <n v="3900"/>
  </r>
  <r>
    <x v="26"/>
    <x v="2"/>
    <x v="1"/>
    <x v="9"/>
    <x v="4"/>
    <n v="7"/>
    <n v="315"/>
    <n v="2205"/>
  </r>
  <r>
    <x v="26"/>
    <x v="3"/>
    <x v="0"/>
    <x v="8"/>
    <x v="4"/>
    <n v="4"/>
    <n v="1080"/>
    <n v="4320"/>
  </r>
  <r>
    <x v="26"/>
    <x v="4"/>
    <x v="2"/>
    <x v="8"/>
    <x v="4"/>
    <n v="4"/>
    <n v="1575"/>
    <n v="6300"/>
  </r>
  <r>
    <x v="26"/>
    <x v="5"/>
    <x v="2"/>
    <x v="8"/>
    <x v="4"/>
    <n v="6"/>
    <n v="790"/>
    <n v="4740"/>
  </r>
  <r>
    <x v="27"/>
    <x v="0"/>
    <x v="0"/>
    <x v="1"/>
    <x v="0"/>
    <n v="6"/>
    <n v="2001"/>
    <n v="12006"/>
  </r>
  <r>
    <x v="27"/>
    <x v="1"/>
    <x v="1"/>
    <x v="1"/>
    <x v="0"/>
    <n v="33"/>
    <n v="75"/>
    <n v="2475"/>
  </r>
  <r>
    <x v="27"/>
    <x v="2"/>
    <x v="1"/>
    <x v="1"/>
    <x v="0"/>
    <n v="8"/>
    <n v="315"/>
    <n v="2520"/>
  </r>
  <r>
    <x v="27"/>
    <x v="3"/>
    <x v="0"/>
    <x v="1"/>
    <x v="0"/>
    <n v="5"/>
    <n v="1080"/>
    <n v="5400"/>
  </r>
  <r>
    <x v="27"/>
    <x v="4"/>
    <x v="2"/>
    <x v="0"/>
    <x v="0"/>
    <n v="3"/>
    <n v="1575"/>
    <n v="4725"/>
  </r>
  <r>
    <x v="27"/>
    <x v="5"/>
    <x v="2"/>
    <x v="0"/>
    <x v="0"/>
    <n v="10"/>
    <n v="790"/>
    <n v="7900"/>
  </r>
  <r>
    <x v="27"/>
    <x v="0"/>
    <x v="0"/>
    <x v="2"/>
    <x v="1"/>
    <n v="5"/>
    <n v="2001"/>
    <n v="10005"/>
  </r>
  <r>
    <x v="27"/>
    <x v="1"/>
    <x v="1"/>
    <x v="3"/>
    <x v="1"/>
    <n v="60"/>
    <n v="75"/>
    <n v="4500"/>
  </r>
  <r>
    <x v="27"/>
    <x v="2"/>
    <x v="1"/>
    <x v="3"/>
    <x v="1"/>
    <n v="5"/>
    <n v="315"/>
    <n v="1575"/>
  </r>
  <r>
    <x v="27"/>
    <x v="3"/>
    <x v="0"/>
    <x v="2"/>
    <x v="1"/>
    <n v="6"/>
    <n v="1080"/>
    <n v="6480"/>
  </r>
  <r>
    <x v="27"/>
    <x v="4"/>
    <x v="2"/>
    <x v="3"/>
    <x v="1"/>
    <n v="5"/>
    <n v="1575"/>
    <n v="7875"/>
  </r>
  <r>
    <x v="27"/>
    <x v="5"/>
    <x v="2"/>
    <x v="3"/>
    <x v="1"/>
    <n v="7"/>
    <n v="790"/>
    <n v="5530"/>
  </r>
  <r>
    <x v="27"/>
    <x v="0"/>
    <x v="0"/>
    <x v="4"/>
    <x v="2"/>
    <n v="6"/>
    <n v="2001"/>
    <n v="12006"/>
  </r>
  <r>
    <x v="27"/>
    <x v="1"/>
    <x v="1"/>
    <x v="4"/>
    <x v="2"/>
    <n v="35"/>
    <n v="75"/>
    <n v="2625"/>
  </r>
  <r>
    <x v="27"/>
    <x v="2"/>
    <x v="1"/>
    <x v="4"/>
    <x v="2"/>
    <n v="8"/>
    <n v="315"/>
    <n v="2520"/>
  </r>
  <r>
    <x v="27"/>
    <x v="3"/>
    <x v="0"/>
    <x v="4"/>
    <x v="2"/>
    <n v="4"/>
    <n v="1080"/>
    <n v="4320"/>
  </r>
  <r>
    <x v="27"/>
    <x v="4"/>
    <x v="2"/>
    <x v="5"/>
    <x v="2"/>
    <n v="3"/>
    <n v="1575"/>
    <n v="4725"/>
  </r>
  <r>
    <x v="27"/>
    <x v="5"/>
    <x v="2"/>
    <x v="5"/>
    <x v="2"/>
    <n v="8"/>
    <n v="790"/>
    <n v="6320"/>
  </r>
  <r>
    <x v="27"/>
    <x v="0"/>
    <x v="0"/>
    <x v="6"/>
    <x v="3"/>
    <n v="5"/>
    <n v="2001"/>
    <n v="10005"/>
  </r>
  <r>
    <x v="27"/>
    <x v="1"/>
    <x v="1"/>
    <x v="6"/>
    <x v="3"/>
    <n v="37"/>
    <n v="75"/>
    <n v="2775"/>
  </r>
  <r>
    <x v="27"/>
    <x v="2"/>
    <x v="1"/>
    <x v="6"/>
    <x v="3"/>
    <n v="7"/>
    <n v="315"/>
    <n v="2205"/>
  </r>
  <r>
    <x v="27"/>
    <x v="3"/>
    <x v="0"/>
    <x v="6"/>
    <x v="3"/>
    <n v="2"/>
    <n v="1080"/>
    <n v="2160"/>
  </r>
  <r>
    <x v="27"/>
    <x v="4"/>
    <x v="2"/>
    <x v="7"/>
    <x v="3"/>
    <n v="4"/>
    <n v="1575"/>
    <n v="6300"/>
  </r>
  <r>
    <x v="27"/>
    <x v="5"/>
    <x v="2"/>
    <x v="7"/>
    <x v="3"/>
    <n v="9"/>
    <n v="790"/>
    <n v="7110"/>
  </r>
  <r>
    <x v="27"/>
    <x v="0"/>
    <x v="0"/>
    <x v="8"/>
    <x v="4"/>
    <n v="5"/>
    <n v="2001"/>
    <n v="10005"/>
  </r>
  <r>
    <x v="27"/>
    <x v="1"/>
    <x v="1"/>
    <x v="9"/>
    <x v="4"/>
    <n v="38"/>
    <n v="75"/>
    <n v="2850"/>
  </r>
  <r>
    <x v="27"/>
    <x v="2"/>
    <x v="1"/>
    <x v="9"/>
    <x v="4"/>
    <n v="9"/>
    <n v="315"/>
    <n v="2835"/>
  </r>
  <r>
    <x v="27"/>
    <x v="3"/>
    <x v="0"/>
    <x v="8"/>
    <x v="4"/>
    <n v="5"/>
    <n v="1080"/>
    <n v="5400"/>
  </r>
  <r>
    <x v="27"/>
    <x v="4"/>
    <x v="2"/>
    <x v="8"/>
    <x v="4"/>
    <n v="3"/>
    <n v="1575"/>
    <n v="4725"/>
  </r>
  <r>
    <x v="27"/>
    <x v="5"/>
    <x v="2"/>
    <x v="8"/>
    <x v="4"/>
    <n v="6"/>
    <n v="790"/>
    <n v="4740"/>
  </r>
  <r>
    <x v="28"/>
    <x v="0"/>
    <x v="0"/>
    <x v="1"/>
    <x v="0"/>
    <n v="6"/>
    <n v="2001"/>
    <n v="12006"/>
  </r>
  <r>
    <x v="28"/>
    <x v="1"/>
    <x v="1"/>
    <x v="1"/>
    <x v="0"/>
    <n v="52"/>
    <n v="75"/>
    <n v="3900"/>
  </r>
  <r>
    <x v="28"/>
    <x v="2"/>
    <x v="1"/>
    <x v="1"/>
    <x v="0"/>
    <n v="8"/>
    <n v="315"/>
    <n v="2520"/>
  </r>
  <r>
    <x v="28"/>
    <x v="3"/>
    <x v="0"/>
    <x v="1"/>
    <x v="0"/>
    <n v="5"/>
    <n v="1080"/>
    <n v="5400"/>
  </r>
  <r>
    <x v="28"/>
    <x v="4"/>
    <x v="2"/>
    <x v="0"/>
    <x v="0"/>
    <n v="5"/>
    <n v="1575"/>
    <n v="7875"/>
  </r>
  <r>
    <x v="28"/>
    <x v="5"/>
    <x v="2"/>
    <x v="0"/>
    <x v="0"/>
    <n v="8"/>
    <n v="790"/>
    <n v="6320"/>
  </r>
  <r>
    <x v="28"/>
    <x v="0"/>
    <x v="0"/>
    <x v="2"/>
    <x v="1"/>
    <n v="4"/>
    <n v="2001"/>
    <n v="8004"/>
  </r>
  <r>
    <x v="28"/>
    <x v="1"/>
    <x v="1"/>
    <x v="3"/>
    <x v="1"/>
    <n v="32"/>
    <n v="75"/>
    <n v="2400"/>
  </r>
  <r>
    <x v="28"/>
    <x v="2"/>
    <x v="1"/>
    <x v="3"/>
    <x v="1"/>
    <n v="9"/>
    <n v="315"/>
    <n v="2835"/>
  </r>
  <r>
    <x v="28"/>
    <x v="3"/>
    <x v="0"/>
    <x v="2"/>
    <x v="1"/>
    <n v="3"/>
    <n v="1080"/>
    <n v="3240"/>
  </r>
  <r>
    <x v="28"/>
    <x v="4"/>
    <x v="2"/>
    <x v="3"/>
    <x v="1"/>
    <n v="4"/>
    <n v="1575"/>
    <n v="6300"/>
  </r>
  <r>
    <x v="28"/>
    <x v="5"/>
    <x v="2"/>
    <x v="3"/>
    <x v="1"/>
    <n v="8"/>
    <n v="790"/>
    <n v="6320"/>
  </r>
  <r>
    <x v="28"/>
    <x v="0"/>
    <x v="0"/>
    <x v="4"/>
    <x v="2"/>
    <n v="4"/>
    <n v="2001"/>
    <n v="8004"/>
  </r>
  <r>
    <x v="28"/>
    <x v="1"/>
    <x v="1"/>
    <x v="4"/>
    <x v="2"/>
    <n v="47"/>
    <n v="75"/>
    <n v="3525"/>
  </r>
  <r>
    <x v="28"/>
    <x v="2"/>
    <x v="1"/>
    <x v="4"/>
    <x v="2"/>
    <n v="14"/>
    <n v="315"/>
    <n v="4410"/>
  </r>
  <r>
    <x v="28"/>
    <x v="3"/>
    <x v="0"/>
    <x v="4"/>
    <x v="2"/>
    <n v="2"/>
    <n v="1080"/>
    <n v="2160"/>
  </r>
  <r>
    <x v="28"/>
    <x v="4"/>
    <x v="2"/>
    <x v="5"/>
    <x v="2"/>
    <n v="5"/>
    <n v="1575"/>
    <n v="7875"/>
  </r>
  <r>
    <x v="28"/>
    <x v="5"/>
    <x v="2"/>
    <x v="5"/>
    <x v="2"/>
    <n v="10"/>
    <n v="790"/>
    <n v="7900"/>
  </r>
  <r>
    <x v="28"/>
    <x v="0"/>
    <x v="0"/>
    <x v="6"/>
    <x v="3"/>
    <n v="3"/>
    <n v="2001"/>
    <n v="6003"/>
  </r>
  <r>
    <x v="28"/>
    <x v="1"/>
    <x v="1"/>
    <x v="6"/>
    <x v="3"/>
    <n v="49"/>
    <n v="75"/>
    <n v="3675"/>
  </r>
  <r>
    <x v="28"/>
    <x v="2"/>
    <x v="1"/>
    <x v="6"/>
    <x v="3"/>
    <n v="15"/>
    <n v="315"/>
    <n v="4725"/>
  </r>
  <r>
    <x v="28"/>
    <x v="3"/>
    <x v="0"/>
    <x v="6"/>
    <x v="3"/>
    <n v="6"/>
    <n v="1080"/>
    <n v="6480"/>
  </r>
  <r>
    <x v="28"/>
    <x v="4"/>
    <x v="2"/>
    <x v="7"/>
    <x v="3"/>
    <n v="6"/>
    <n v="1575"/>
    <n v="9450"/>
  </r>
  <r>
    <x v="28"/>
    <x v="5"/>
    <x v="2"/>
    <x v="7"/>
    <x v="3"/>
    <n v="8"/>
    <n v="790"/>
    <n v="6320"/>
  </r>
  <r>
    <x v="28"/>
    <x v="0"/>
    <x v="0"/>
    <x v="8"/>
    <x v="4"/>
    <n v="4"/>
    <n v="2001"/>
    <n v="8004"/>
  </r>
  <r>
    <x v="28"/>
    <x v="1"/>
    <x v="1"/>
    <x v="9"/>
    <x v="4"/>
    <n v="53"/>
    <n v="75"/>
    <n v="3975"/>
  </r>
  <r>
    <x v="28"/>
    <x v="2"/>
    <x v="1"/>
    <x v="9"/>
    <x v="4"/>
    <n v="14"/>
    <n v="315"/>
    <n v="4410"/>
  </r>
  <r>
    <x v="28"/>
    <x v="3"/>
    <x v="0"/>
    <x v="8"/>
    <x v="4"/>
    <n v="6"/>
    <n v="1080"/>
    <n v="6480"/>
  </r>
  <r>
    <x v="28"/>
    <x v="4"/>
    <x v="2"/>
    <x v="8"/>
    <x v="4"/>
    <n v="5"/>
    <n v="1575"/>
    <n v="7875"/>
  </r>
  <r>
    <x v="28"/>
    <x v="5"/>
    <x v="2"/>
    <x v="8"/>
    <x v="4"/>
    <n v="5"/>
    <n v="790"/>
    <n v="3950"/>
  </r>
  <r>
    <x v="29"/>
    <x v="0"/>
    <x v="0"/>
    <x v="1"/>
    <x v="0"/>
    <n v="5"/>
    <n v="2001"/>
    <n v="10005"/>
  </r>
  <r>
    <x v="29"/>
    <x v="1"/>
    <x v="1"/>
    <x v="1"/>
    <x v="0"/>
    <n v="49"/>
    <n v="75"/>
    <n v="3675"/>
  </r>
  <r>
    <x v="29"/>
    <x v="2"/>
    <x v="1"/>
    <x v="1"/>
    <x v="0"/>
    <n v="7"/>
    <n v="315"/>
    <n v="2205"/>
  </r>
  <r>
    <x v="29"/>
    <x v="3"/>
    <x v="0"/>
    <x v="1"/>
    <x v="0"/>
    <n v="6"/>
    <n v="1080"/>
    <n v="6480"/>
  </r>
  <r>
    <x v="29"/>
    <x v="4"/>
    <x v="2"/>
    <x v="0"/>
    <x v="0"/>
    <n v="5"/>
    <n v="1575"/>
    <n v="7875"/>
  </r>
  <r>
    <x v="29"/>
    <x v="5"/>
    <x v="2"/>
    <x v="0"/>
    <x v="0"/>
    <n v="10"/>
    <n v="790"/>
    <n v="7900"/>
  </r>
  <r>
    <x v="29"/>
    <x v="0"/>
    <x v="0"/>
    <x v="2"/>
    <x v="1"/>
    <n v="4"/>
    <n v="2001"/>
    <n v="8004"/>
  </r>
  <r>
    <x v="29"/>
    <x v="1"/>
    <x v="1"/>
    <x v="3"/>
    <x v="1"/>
    <n v="53"/>
    <n v="75"/>
    <n v="3975"/>
  </r>
  <r>
    <x v="29"/>
    <x v="2"/>
    <x v="1"/>
    <x v="3"/>
    <x v="1"/>
    <n v="5"/>
    <n v="315"/>
    <n v="1575"/>
  </r>
  <r>
    <x v="29"/>
    <x v="3"/>
    <x v="0"/>
    <x v="2"/>
    <x v="1"/>
    <n v="4"/>
    <n v="1080"/>
    <n v="4320"/>
  </r>
  <r>
    <x v="29"/>
    <x v="4"/>
    <x v="2"/>
    <x v="3"/>
    <x v="1"/>
    <n v="6"/>
    <n v="1575"/>
    <n v="9450"/>
  </r>
  <r>
    <x v="29"/>
    <x v="5"/>
    <x v="2"/>
    <x v="2"/>
    <x v="1"/>
    <n v="8"/>
    <n v="790"/>
    <n v="6320"/>
  </r>
  <r>
    <x v="29"/>
    <x v="0"/>
    <x v="0"/>
    <x v="4"/>
    <x v="2"/>
    <n v="4"/>
    <n v="2001"/>
    <n v="8004"/>
  </r>
  <r>
    <x v="29"/>
    <x v="1"/>
    <x v="1"/>
    <x v="5"/>
    <x v="2"/>
    <n v="39"/>
    <n v="75"/>
    <n v="2925"/>
  </r>
  <r>
    <x v="29"/>
    <x v="2"/>
    <x v="1"/>
    <x v="5"/>
    <x v="2"/>
    <n v="12"/>
    <n v="315"/>
    <n v="3780"/>
  </r>
  <r>
    <x v="29"/>
    <x v="3"/>
    <x v="0"/>
    <x v="4"/>
    <x v="2"/>
    <n v="5"/>
    <n v="1080"/>
    <n v="5400"/>
  </r>
  <r>
    <x v="29"/>
    <x v="4"/>
    <x v="2"/>
    <x v="5"/>
    <x v="2"/>
    <n v="3"/>
    <n v="1575"/>
    <n v="4725"/>
  </r>
  <r>
    <x v="29"/>
    <x v="5"/>
    <x v="2"/>
    <x v="5"/>
    <x v="2"/>
    <n v="10"/>
    <n v="790"/>
    <n v="7900"/>
  </r>
  <r>
    <x v="29"/>
    <x v="0"/>
    <x v="0"/>
    <x v="6"/>
    <x v="3"/>
    <n v="5"/>
    <n v="2001"/>
    <n v="10005"/>
  </r>
  <r>
    <x v="29"/>
    <x v="1"/>
    <x v="1"/>
    <x v="6"/>
    <x v="3"/>
    <n v="40"/>
    <n v="75"/>
    <n v="3000"/>
  </r>
  <r>
    <x v="29"/>
    <x v="2"/>
    <x v="1"/>
    <x v="6"/>
    <x v="3"/>
    <n v="11"/>
    <n v="315"/>
    <n v="3465"/>
  </r>
  <r>
    <x v="29"/>
    <x v="3"/>
    <x v="0"/>
    <x v="6"/>
    <x v="3"/>
    <n v="3"/>
    <n v="1080"/>
    <n v="3240"/>
  </r>
  <r>
    <x v="29"/>
    <x v="4"/>
    <x v="2"/>
    <x v="7"/>
    <x v="3"/>
    <n v="4"/>
    <n v="1575"/>
    <n v="6300"/>
  </r>
  <r>
    <x v="29"/>
    <x v="5"/>
    <x v="2"/>
    <x v="7"/>
    <x v="3"/>
    <n v="8"/>
    <n v="790"/>
    <n v="6320"/>
  </r>
  <r>
    <x v="29"/>
    <x v="0"/>
    <x v="0"/>
    <x v="8"/>
    <x v="4"/>
    <n v="5"/>
    <n v="2001"/>
    <n v="10005"/>
  </r>
  <r>
    <x v="29"/>
    <x v="1"/>
    <x v="1"/>
    <x v="9"/>
    <x v="4"/>
    <n v="59"/>
    <n v="75"/>
    <n v="4425"/>
  </r>
  <r>
    <x v="29"/>
    <x v="2"/>
    <x v="1"/>
    <x v="9"/>
    <x v="4"/>
    <n v="13"/>
    <n v="315"/>
    <n v="4095"/>
  </r>
  <r>
    <x v="29"/>
    <x v="3"/>
    <x v="0"/>
    <x v="8"/>
    <x v="4"/>
    <n v="4"/>
    <n v="1080"/>
    <n v="4320"/>
  </r>
  <r>
    <x v="29"/>
    <x v="4"/>
    <x v="2"/>
    <x v="8"/>
    <x v="4"/>
    <n v="3"/>
    <n v="1575"/>
    <n v="4725"/>
  </r>
  <r>
    <x v="29"/>
    <x v="5"/>
    <x v="2"/>
    <x v="8"/>
    <x v="4"/>
    <n v="8"/>
    <n v="790"/>
    <n v="6320"/>
  </r>
  <r>
    <x v="30"/>
    <x v="0"/>
    <x v="0"/>
    <x v="1"/>
    <x v="0"/>
    <n v="6"/>
    <n v="2001"/>
    <n v="12006"/>
  </r>
  <r>
    <x v="30"/>
    <x v="1"/>
    <x v="1"/>
    <x v="1"/>
    <x v="0"/>
    <n v="48"/>
    <n v="75"/>
    <n v="3600"/>
  </r>
  <r>
    <x v="30"/>
    <x v="2"/>
    <x v="1"/>
    <x v="1"/>
    <x v="0"/>
    <n v="8"/>
    <n v="315"/>
    <n v="2520"/>
  </r>
  <r>
    <x v="30"/>
    <x v="3"/>
    <x v="0"/>
    <x v="1"/>
    <x v="0"/>
    <n v="3"/>
    <n v="1080"/>
    <n v="3240"/>
  </r>
  <r>
    <x v="30"/>
    <x v="4"/>
    <x v="2"/>
    <x v="0"/>
    <x v="0"/>
    <n v="3"/>
    <n v="1575"/>
    <n v="4725"/>
  </r>
  <r>
    <x v="30"/>
    <x v="5"/>
    <x v="2"/>
    <x v="0"/>
    <x v="0"/>
    <n v="7"/>
    <n v="790"/>
    <n v="5530"/>
  </r>
  <r>
    <x v="30"/>
    <x v="0"/>
    <x v="0"/>
    <x v="2"/>
    <x v="1"/>
    <n v="6"/>
    <n v="2001"/>
    <n v="12006"/>
  </r>
  <r>
    <x v="30"/>
    <x v="1"/>
    <x v="1"/>
    <x v="3"/>
    <x v="1"/>
    <n v="58"/>
    <n v="75"/>
    <n v="4350"/>
  </r>
  <r>
    <x v="30"/>
    <x v="2"/>
    <x v="1"/>
    <x v="3"/>
    <x v="1"/>
    <n v="11"/>
    <n v="315"/>
    <n v="3465"/>
  </r>
  <r>
    <x v="30"/>
    <x v="3"/>
    <x v="0"/>
    <x v="2"/>
    <x v="1"/>
    <n v="5"/>
    <n v="1080"/>
    <n v="5400"/>
  </r>
  <r>
    <x v="30"/>
    <x v="4"/>
    <x v="2"/>
    <x v="2"/>
    <x v="1"/>
    <n v="6"/>
    <n v="1575"/>
    <n v="9450"/>
  </r>
  <r>
    <x v="30"/>
    <x v="5"/>
    <x v="2"/>
    <x v="2"/>
    <x v="1"/>
    <n v="10"/>
    <n v="790"/>
    <n v="7900"/>
  </r>
  <r>
    <x v="30"/>
    <x v="0"/>
    <x v="0"/>
    <x v="4"/>
    <x v="2"/>
    <n v="6"/>
    <n v="2001"/>
    <n v="12006"/>
  </r>
  <r>
    <x v="30"/>
    <x v="1"/>
    <x v="1"/>
    <x v="5"/>
    <x v="2"/>
    <n v="59"/>
    <n v="75"/>
    <n v="4425"/>
  </r>
  <r>
    <x v="30"/>
    <x v="2"/>
    <x v="1"/>
    <x v="5"/>
    <x v="2"/>
    <n v="7"/>
    <n v="315"/>
    <n v="2205"/>
  </r>
  <r>
    <x v="30"/>
    <x v="3"/>
    <x v="0"/>
    <x v="4"/>
    <x v="2"/>
    <n v="6"/>
    <n v="1080"/>
    <n v="6480"/>
  </r>
  <r>
    <x v="30"/>
    <x v="4"/>
    <x v="2"/>
    <x v="5"/>
    <x v="2"/>
    <n v="6"/>
    <n v="1575"/>
    <n v="9450"/>
  </r>
  <r>
    <x v="30"/>
    <x v="5"/>
    <x v="2"/>
    <x v="5"/>
    <x v="2"/>
    <n v="8"/>
    <n v="790"/>
    <n v="6320"/>
  </r>
  <r>
    <x v="30"/>
    <x v="0"/>
    <x v="0"/>
    <x v="6"/>
    <x v="3"/>
    <n v="3"/>
    <n v="2001"/>
    <n v="6003"/>
  </r>
  <r>
    <x v="30"/>
    <x v="1"/>
    <x v="1"/>
    <x v="6"/>
    <x v="3"/>
    <n v="48"/>
    <n v="75"/>
    <n v="3600"/>
  </r>
  <r>
    <x v="30"/>
    <x v="2"/>
    <x v="1"/>
    <x v="6"/>
    <x v="3"/>
    <n v="8"/>
    <n v="315"/>
    <n v="2520"/>
  </r>
  <r>
    <x v="30"/>
    <x v="3"/>
    <x v="0"/>
    <x v="6"/>
    <x v="3"/>
    <n v="2"/>
    <n v="1080"/>
    <n v="2160"/>
  </r>
  <r>
    <x v="30"/>
    <x v="4"/>
    <x v="2"/>
    <x v="7"/>
    <x v="3"/>
    <n v="2"/>
    <n v="1575"/>
    <n v="3150"/>
  </r>
  <r>
    <x v="30"/>
    <x v="5"/>
    <x v="2"/>
    <x v="7"/>
    <x v="3"/>
    <n v="7"/>
    <n v="790"/>
    <n v="5530"/>
  </r>
  <r>
    <x v="30"/>
    <x v="0"/>
    <x v="0"/>
    <x v="8"/>
    <x v="4"/>
    <n v="5"/>
    <n v="2001"/>
    <n v="10005"/>
  </r>
  <r>
    <x v="30"/>
    <x v="1"/>
    <x v="1"/>
    <x v="9"/>
    <x v="4"/>
    <n v="37"/>
    <n v="75"/>
    <n v="2775"/>
  </r>
  <r>
    <x v="30"/>
    <x v="2"/>
    <x v="1"/>
    <x v="9"/>
    <x v="4"/>
    <n v="9"/>
    <n v="315"/>
    <n v="2835"/>
  </r>
  <r>
    <x v="30"/>
    <x v="3"/>
    <x v="0"/>
    <x v="8"/>
    <x v="4"/>
    <n v="5"/>
    <n v="1080"/>
    <n v="5400"/>
  </r>
  <r>
    <x v="30"/>
    <x v="4"/>
    <x v="2"/>
    <x v="8"/>
    <x v="4"/>
    <n v="2"/>
    <n v="1575"/>
    <n v="3150"/>
  </r>
  <r>
    <x v="30"/>
    <x v="5"/>
    <x v="2"/>
    <x v="8"/>
    <x v="4"/>
    <n v="7"/>
    <n v="790"/>
    <n v="5530"/>
  </r>
  <r>
    <x v="31"/>
    <x v="0"/>
    <x v="0"/>
    <x v="1"/>
    <x v="0"/>
    <n v="4"/>
    <n v="2001"/>
    <n v="8004"/>
  </r>
  <r>
    <x v="31"/>
    <x v="1"/>
    <x v="1"/>
    <x v="1"/>
    <x v="0"/>
    <n v="39"/>
    <n v="75"/>
    <n v="2925"/>
  </r>
  <r>
    <x v="31"/>
    <x v="2"/>
    <x v="1"/>
    <x v="1"/>
    <x v="0"/>
    <n v="5"/>
    <n v="315"/>
    <n v="1575"/>
  </r>
  <r>
    <x v="31"/>
    <x v="3"/>
    <x v="0"/>
    <x v="1"/>
    <x v="0"/>
    <n v="2"/>
    <n v="1080"/>
    <n v="2160"/>
  </r>
  <r>
    <x v="31"/>
    <x v="4"/>
    <x v="2"/>
    <x v="0"/>
    <x v="0"/>
    <n v="2"/>
    <n v="1575"/>
    <n v="3150"/>
  </r>
  <r>
    <x v="31"/>
    <x v="5"/>
    <x v="2"/>
    <x v="0"/>
    <x v="0"/>
    <n v="5"/>
    <n v="790"/>
    <n v="3950"/>
  </r>
  <r>
    <x v="31"/>
    <x v="0"/>
    <x v="0"/>
    <x v="2"/>
    <x v="1"/>
    <n v="5"/>
    <n v="2001"/>
    <n v="10005"/>
  </r>
  <r>
    <x v="31"/>
    <x v="1"/>
    <x v="1"/>
    <x v="3"/>
    <x v="1"/>
    <n v="57"/>
    <n v="75"/>
    <n v="4275"/>
  </r>
  <r>
    <x v="31"/>
    <x v="2"/>
    <x v="1"/>
    <x v="3"/>
    <x v="1"/>
    <n v="6"/>
    <n v="315"/>
    <n v="1890"/>
  </r>
  <r>
    <x v="31"/>
    <x v="3"/>
    <x v="0"/>
    <x v="2"/>
    <x v="1"/>
    <n v="4"/>
    <n v="1080"/>
    <n v="4320"/>
  </r>
  <r>
    <x v="31"/>
    <x v="4"/>
    <x v="2"/>
    <x v="2"/>
    <x v="1"/>
    <n v="6"/>
    <n v="1575"/>
    <n v="9450"/>
  </r>
  <r>
    <x v="31"/>
    <x v="5"/>
    <x v="2"/>
    <x v="2"/>
    <x v="1"/>
    <n v="5"/>
    <n v="790"/>
    <n v="3950"/>
  </r>
  <r>
    <x v="31"/>
    <x v="0"/>
    <x v="0"/>
    <x v="4"/>
    <x v="2"/>
    <n v="5"/>
    <n v="2001"/>
    <n v="10005"/>
  </r>
  <r>
    <x v="31"/>
    <x v="1"/>
    <x v="1"/>
    <x v="5"/>
    <x v="2"/>
    <n v="32"/>
    <n v="75"/>
    <n v="2400"/>
  </r>
  <r>
    <x v="31"/>
    <x v="2"/>
    <x v="1"/>
    <x v="5"/>
    <x v="2"/>
    <n v="6"/>
    <n v="315"/>
    <n v="1890"/>
  </r>
  <r>
    <x v="31"/>
    <x v="3"/>
    <x v="0"/>
    <x v="4"/>
    <x v="2"/>
    <n v="3"/>
    <n v="1080"/>
    <n v="3240"/>
  </r>
  <r>
    <x v="31"/>
    <x v="4"/>
    <x v="2"/>
    <x v="5"/>
    <x v="2"/>
    <n v="3"/>
    <n v="1575"/>
    <n v="4725"/>
  </r>
  <r>
    <x v="31"/>
    <x v="5"/>
    <x v="2"/>
    <x v="5"/>
    <x v="2"/>
    <n v="5"/>
    <n v="790"/>
    <n v="3950"/>
  </r>
  <r>
    <x v="31"/>
    <x v="0"/>
    <x v="0"/>
    <x v="6"/>
    <x v="3"/>
    <n v="5"/>
    <n v="2001"/>
    <n v="10005"/>
  </r>
  <r>
    <x v="31"/>
    <x v="1"/>
    <x v="1"/>
    <x v="6"/>
    <x v="3"/>
    <n v="51"/>
    <n v="75"/>
    <n v="3825"/>
  </r>
  <r>
    <x v="31"/>
    <x v="2"/>
    <x v="1"/>
    <x v="6"/>
    <x v="3"/>
    <n v="13"/>
    <n v="315"/>
    <n v="4095"/>
  </r>
  <r>
    <x v="31"/>
    <x v="3"/>
    <x v="0"/>
    <x v="6"/>
    <x v="3"/>
    <n v="3"/>
    <n v="1080"/>
    <n v="3240"/>
  </r>
  <r>
    <x v="31"/>
    <x v="4"/>
    <x v="2"/>
    <x v="7"/>
    <x v="3"/>
    <n v="4"/>
    <n v="1575"/>
    <n v="6300"/>
  </r>
  <r>
    <x v="31"/>
    <x v="5"/>
    <x v="2"/>
    <x v="7"/>
    <x v="3"/>
    <n v="5"/>
    <n v="790"/>
    <n v="3950"/>
  </r>
  <r>
    <x v="31"/>
    <x v="0"/>
    <x v="0"/>
    <x v="8"/>
    <x v="4"/>
    <n v="3"/>
    <n v="2001"/>
    <n v="6003"/>
  </r>
  <r>
    <x v="31"/>
    <x v="1"/>
    <x v="1"/>
    <x v="9"/>
    <x v="4"/>
    <n v="56"/>
    <n v="75"/>
    <n v="4200"/>
  </r>
  <r>
    <x v="31"/>
    <x v="2"/>
    <x v="1"/>
    <x v="9"/>
    <x v="4"/>
    <n v="7"/>
    <n v="315"/>
    <n v="2205"/>
  </r>
  <r>
    <x v="31"/>
    <x v="3"/>
    <x v="0"/>
    <x v="8"/>
    <x v="4"/>
    <n v="5"/>
    <n v="1080"/>
    <n v="5400"/>
  </r>
  <r>
    <x v="31"/>
    <x v="4"/>
    <x v="2"/>
    <x v="8"/>
    <x v="4"/>
    <n v="5"/>
    <n v="1575"/>
    <n v="7875"/>
  </r>
  <r>
    <x v="31"/>
    <x v="5"/>
    <x v="2"/>
    <x v="8"/>
    <x v="4"/>
    <n v="11"/>
    <n v="790"/>
    <n v="8690"/>
  </r>
  <r>
    <x v="32"/>
    <x v="0"/>
    <x v="0"/>
    <x v="1"/>
    <x v="0"/>
    <n v="5"/>
    <n v="2001"/>
    <n v="10005"/>
  </r>
  <r>
    <x v="32"/>
    <x v="1"/>
    <x v="1"/>
    <x v="1"/>
    <x v="0"/>
    <n v="55"/>
    <n v="75"/>
    <n v="4125"/>
  </r>
  <r>
    <x v="32"/>
    <x v="2"/>
    <x v="1"/>
    <x v="1"/>
    <x v="0"/>
    <n v="12"/>
    <n v="315"/>
    <n v="3780"/>
  </r>
  <r>
    <x v="32"/>
    <x v="3"/>
    <x v="0"/>
    <x v="1"/>
    <x v="0"/>
    <n v="3"/>
    <n v="1080"/>
    <n v="3240"/>
  </r>
  <r>
    <x v="32"/>
    <x v="4"/>
    <x v="2"/>
    <x v="0"/>
    <x v="0"/>
    <n v="6"/>
    <n v="1575"/>
    <n v="9450"/>
  </r>
  <r>
    <x v="32"/>
    <x v="5"/>
    <x v="2"/>
    <x v="0"/>
    <x v="0"/>
    <n v="10"/>
    <n v="790"/>
    <n v="7900"/>
  </r>
  <r>
    <x v="32"/>
    <x v="0"/>
    <x v="0"/>
    <x v="2"/>
    <x v="1"/>
    <n v="3"/>
    <n v="2001"/>
    <n v="6003"/>
  </r>
  <r>
    <x v="32"/>
    <x v="1"/>
    <x v="1"/>
    <x v="3"/>
    <x v="1"/>
    <n v="46"/>
    <n v="75"/>
    <n v="3450"/>
  </r>
  <r>
    <x v="32"/>
    <x v="2"/>
    <x v="1"/>
    <x v="3"/>
    <x v="1"/>
    <n v="12"/>
    <n v="315"/>
    <n v="3780"/>
  </r>
  <r>
    <x v="32"/>
    <x v="3"/>
    <x v="0"/>
    <x v="2"/>
    <x v="1"/>
    <n v="3"/>
    <n v="1080"/>
    <n v="3240"/>
  </r>
  <r>
    <x v="32"/>
    <x v="4"/>
    <x v="2"/>
    <x v="2"/>
    <x v="1"/>
    <n v="2"/>
    <n v="1575"/>
    <n v="3150"/>
  </r>
  <r>
    <x v="32"/>
    <x v="5"/>
    <x v="2"/>
    <x v="2"/>
    <x v="1"/>
    <n v="6"/>
    <n v="790"/>
    <n v="4740"/>
  </r>
  <r>
    <x v="32"/>
    <x v="0"/>
    <x v="0"/>
    <x v="4"/>
    <x v="2"/>
    <n v="3"/>
    <n v="2001"/>
    <n v="6003"/>
  </r>
  <r>
    <x v="32"/>
    <x v="1"/>
    <x v="1"/>
    <x v="5"/>
    <x v="2"/>
    <n v="35"/>
    <n v="75"/>
    <n v="2625"/>
  </r>
  <r>
    <x v="32"/>
    <x v="2"/>
    <x v="1"/>
    <x v="5"/>
    <x v="2"/>
    <n v="11"/>
    <n v="315"/>
    <n v="3465"/>
  </r>
  <r>
    <x v="32"/>
    <x v="3"/>
    <x v="0"/>
    <x v="4"/>
    <x v="2"/>
    <n v="2"/>
    <n v="1080"/>
    <n v="2160"/>
  </r>
  <r>
    <x v="32"/>
    <x v="4"/>
    <x v="2"/>
    <x v="5"/>
    <x v="2"/>
    <n v="4"/>
    <n v="1575"/>
    <n v="6300"/>
  </r>
  <r>
    <x v="32"/>
    <x v="5"/>
    <x v="2"/>
    <x v="5"/>
    <x v="2"/>
    <n v="4"/>
    <n v="790"/>
    <n v="3160"/>
  </r>
  <r>
    <x v="32"/>
    <x v="0"/>
    <x v="0"/>
    <x v="6"/>
    <x v="3"/>
    <n v="6"/>
    <n v="2001"/>
    <n v="12006"/>
  </r>
  <r>
    <x v="32"/>
    <x v="1"/>
    <x v="1"/>
    <x v="6"/>
    <x v="3"/>
    <n v="46"/>
    <n v="75"/>
    <n v="3450"/>
  </r>
  <r>
    <x v="32"/>
    <x v="2"/>
    <x v="1"/>
    <x v="6"/>
    <x v="3"/>
    <n v="7"/>
    <n v="315"/>
    <n v="2205"/>
  </r>
  <r>
    <x v="32"/>
    <x v="3"/>
    <x v="0"/>
    <x v="6"/>
    <x v="3"/>
    <n v="5"/>
    <n v="1080"/>
    <n v="5400"/>
  </r>
  <r>
    <x v="32"/>
    <x v="4"/>
    <x v="2"/>
    <x v="7"/>
    <x v="3"/>
    <n v="2"/>
    <n v="1575"/>
    <n v="3150"/>
  </r>
  <r>
    <x v="32"/>
    <x v="5"/>
    <x v="2"/>
    <x v="7"/>
    <x v="3"/>
    <n v="5"/>
    <n v="790"/>
    <n v="3950"/>
  </r>
  <r>
    <x v="32"/>
    <x v="0"/>
    <x v="0"/>
    <x v="8"/>
    <x v="4"/>
    <n v="4"/>
    <n v="2001"/>
    <n v="8004"/>
  </r>
  <r>
    <x v="32"/>
    <x v="1"/>
    <x v="1"/>
    <x v="9"/>
    <x v="4"/>
    <n v="47"/>
    <n v="75"/>
    <n v="3525"/>
  </r>
  <r>
    <x v="32"/>
    <x v="2"/>
    <x v="1"/>
    <x v="9"/>
    <x v="4"/>
    <n v="12"/>
    <n v="315"/>
    <n v="3780"/>
  </r>
  <r>
    <x v="32"/>
    <x v="3"/>
    <x v="0"/>
    <x v="8"/>
    <x v="4"/>
    <n v="3"/>
    <n v="1080"/>
    <n v="3240"/>
  </r>
  <r>
    <x v="32"/>
    <x v="4"/>
    <x v="2"/>
    <x v="8"/>
    <x v="4"/>
    <n v="3"/>
    <n v="1575"/>
    <n v="4725"/>
  </r>
  <r>
    <x v="32"/>
    <x v="5"/>
    <x v="2"/>
    <x v="8"/>
    <x v="4"/>
    <n v="6"/>
    <n v="790"/>
    <n v="4740"/>
  </r>
  <r>
    <x v="33"/>
    <x v="0"/>
    <x v="0"/>
    <x v="1"/>
    <x v="0"/>
    <n v="4"/>
    <n v="2001"/>
    <n v="8004"/>
  </r>
  <r>
    <x v="33"/>
    <x v="1"/>
    <x v="1"/>
    <x v="1"/>
    <x v="0"/>
    <n v="44"/>
    <n v="75"/>
    <n v="3300"/>
  </r>
  <r>
    <x v="33"/>
    <x v="2"/>
    <x v="1"/>
    <x v="1"/>
    <x v="0"/>
    <n v="9"/>
    <n v="315"/>
    <n v="2835"/>
  </r>
  <r>
    <x v="33"/>
    <x v="3"/>
    <x v="0"/>
    <x v="1"/>
    <x v="0"/>
    <n v="4"/>
    <n v="1080"/>
    <n v="4320"/>
  </r>
  <r>
    <x v="33"/>
    <x v="4"/>
    <x v="2"/>
    <x v="0"/>
    <x v="0"/>
    <n v="5"/>
    <n v="1575"/>
    <n v="7875"/>
  </r>
  <r>
    <x v="33"/>
    <x v="5"/>
    <x v="2"/>
    <x v="0"/>
    <x v="0"/>
    <n v="10"/>
    <n v="790"/>
    <n v="7900"/>
  </r>
  <r>
    <x v="33"/>
    <x v="0"/>
    <x v="0"/>
    <x v="2"/>
    <x v="1"/>
    <n v="3"/>
    <n v="2001"/>
    <n v="6003"/>
  </r>
  <r>
    <x v="33"/>
    <x v="1"/>
    <x v="1"/>
    <x v="3"/>
    <x v="1"/>
    <n v="56"/>
    <n v="75"/>
    <n v="4200"/>
  </r>
  <r>
    <x v="33"/>
    <x v="2"/>
    <x v="1"/>
    <x v="3"/>
    <x v="1"/>
    <n v="9"/>
    <n v="315"/>
    <n v="2835"/>
  </r>
  <r>
    <x v="33"/>
    <x v="3"/>
    <x v="0"/>
    <x v="2"/>
    <x v="1"/>
    <n v="6"/>
    <n v="1080"/>
    <n v="6480"/>
  </r>
  <r>
    <x v="33"/>
    <x v="4"/>
    <x v="2"/>
    <x v="2"/>
    <x v="1"/>
    <n v="2"/>
    <n v="1575"/>
    <n v="3150"/>
  </r>
  <r>
    <x v="33"/>
    <x v="5"/>
    <x v="2"/>
    <x v="2"/>
    <x v="1"/>
    <n v="6"/>
    <n v="790"/>
    <n v="4740"/>
  </r>
  <r>
    <x v="33"/>
    <x v="0"/>
    <x v="0"/>
    <x v="4"/>
    <x v="2"/>
    <n v="4"/>
    <n v="2001"/>
    <n v="8004"/>
  </r>
  <r>
    <x v="33"/>
    <x v="1"/>
    <x v="1"/>
    <x v="5"/>
    <x v="2"/>
    <n v="35"/>
    <n v="75"/>
    <n v="2625"/>
  </r>
  <r>
    <x v="33"/>
    <x v="2"/>
    <x v="1"/>
    <x v="5"/>
    <x v="2"/>
    <n v="4"/>
    <n v="315"/>
    <n v="1260"/>
  </r>
  <r>
    <x v="33"/>
    <x v="3"/>
    <x v="0"/>
    <x v="4"/>
    <x v="2"/>
    <n v="4"/>
    <n v="1080"/>
    <n v="4320"/>
  </r>
  <r>
    <x v="33"/>
    <x v="4"/>
    <x v="2"/>
    <x v="5"/>
    <x v="2"/>
    <n v="3"/>
    <n v="1575"/>
    <n v="4725"/>
  </r>
  <r>
    <x v="33"/>
    <x v="5"/>
    <x v="2"/>
    <x v="5"/>
    <x v="2"/>
    <n v="9"/>
    <n v="790"/>
    <n v="7110"/>
  </r>
  <r>
    <x v="33"/>
    <x v="0"/>
    <x v="0"/>
    <x v="6"/>
    <x v="3"/>
    <n v="5"/>
    <n v="2001"/>
    <n v="10005"/>
  </r>
  <r>
    <x v="33"/>
    <x v="1"/>
    <x v="1"/>
    <x v="7"/>
    <x v="3"/>
    <n v="52"/>
    <n v="75"/>
    <n v="3900"/>
  </r>
  <r>
    <x v="33"/>
    <x v="2"/>
    <x v="1"/>
    <x v="7"/>
    <x v="3"/>
    <n v="9"/>
    <n v="315"/>
    <n v="2835"/>
  </r>
  <r>
    <x v="33"/>
    <x v="3"/>
    <x v="0"/>
    <x v="6"/>
    <x v="3"/>
    <n v="2"/>
    <n v="1080"/>
    <n v="2160"/>
  </r>
  <r>
    <x v="33"/>
    <x v="4"/>
    <x v="2"/>
    <x v="7"/>
    <x v="3"/>
    <n v="5"/>
    <n v="1575"/>
    <n v="7875"/>
  </r>
  <r>
    <x v="33"/>
    <x v="5"/>
    <x v="2"/>
    <x v="7"/>
    <x v="3"/>
    <n v="6"/>
    <n v="790"/>
    <n v="4740"/>
  </r>
  <r>
    <x v="33"/>
    <x v="0"/>
    <x v="0"/>
    <x v="8"/>
    <x v="4"/>
    <n v="6"/>
    <n v="2001"/>
    <n v="12006"/>
  </r>
  <r>
    <x v="33"/>
    <x v="1"/>
    <x v="1"/>
    <x v="9"/>
    <x v="4"/>
    <n v="58"/>
    <n v="75"/>
    <n v="4350"/>
  </r>
  <r>
    <x v="33"/>
    <x v="2"/>
    <x v="1"/>
    <x v="9"/>
    <x v="4"/>
    <n v="9"/>
    <n v="315"/>
    <n v="2835"/>
  </r>
  <r>
    <x v="33"/>
    <x v="3"/>
    <x v="0"/>
    <x v="8"/>
    <x v="4"/>
    <n v="2"/>
    <n v="1080"/>
    <n v="2160"/>
  </r>
  <r>
    <x v="33"/>
    <x v="4"/>
    <x v="2"/>
    <x v="8"/>
    <x v="4"/>
    <n v="5"/>
    <n v="1575"/>
    <n v="7875"/>
  </r>
  <r>
    <x v="33"/>
    <x v="5"/>
    <x v="2"/>
    <x v="8"/>
    <x v="4"/>
    <n v="10"/>
    <n v="790"/>
    <n v="7900"/>
  </r>
  <r>
    <x v="34"/>
    <x v="0"/>
    <x v="0"/>
    <x v="1"/>
    <x v="0"/>
    <n v="5"/>
    <n v="2001"/>
    <n v="10005"/>
  </r>
  <r>
    <x v="34"/>
    <x v="1"/>
    <x v="1"/>
    <x v="1"/>
    <x v="0"/>
    <n v="33"/>
    <n v="75"/>
    <n v="2475"/>
  </r>
  <r>
    <x v="34"/>
    <x v="2"/>
    <x v="1"/>
    <x v="1"/>
    <x v="0"/>
    <n v="12"/>
    <n v="315"/>
    <n v="3780"/>
  </r>
  <r>
    <x v="34"/>
    <x v="3"/>
    <x v="0"/>
    <x v="1"/>
    <x v="0"/>
    <n v="5"/>
    <n v="1080"/>
    <n v="5400"/>
  </r>
  <r>
    <x v="34"/>
    <x v="4"/>
    <x v="2"/>
    <x v="0"/>
    <x v="0"/>
    <n v="4"/>
    <n v="1575"/>
    <n v="6300"/>
  </r>
  <r>
    <x v="34"/>
    <x v="5"/>
    <x v="2"/>
    <x v="0"/>
    <x v="0"/>
    <n v="9"/>
    <n v="790"/>
    <n v="7110"/>
  </r>
  <r>
    <x v="34"/>
    <x v="0"/>
    <x v="0"/>
    <x v="2"/>
    <x v="1"/>
    <n v="5"/>
    <n v="2001"/>
    <n v="10005"/>
  </r>
  <r>
    <x v="34"/>
    <x v="1"/>
    <x v="1"/>
    <x v="3"/>
    <x v="1"/>
    <n v="46"/>
    <n v="75"/>
    <n v="3450"/>
  </r>
  <r>
    <x v="34"/>
    <x v="2"/>
    <x v="1"/>
    <x v="3"/>
    <x v="1"/>
    <n v="9"/>
    <n v="315"/>
    <n v="2835"/>
  </r>
  <r>
    <x v="34"/>
    <x v="3"/>
    <x v="0"/>
    <x v="2"/>
    <x v="1"/>
    <n v="2"/>
    <n v="1080"/>
    <n v="2160"/>
  </r>
  <r>
    <x v="34"/>
    <x v="4"/>
    <x v="2"/>
    <x v="2"/>
    <x v="1"/>
    <n v="2"/>
    <n v="1575"/>
    <n v="3150"/>
  </r>
  <r>
    <x v="34"/>
    <x v="5"/>
    <x v="2"/>
    <x v="2"/>
    <x v="1"/>
    <n v="5"/>
    <n v="790"/>
    <n v="3950"/>
  </r>
  <r>
    <x v="34"/>
    <x v="0"/>
    <x v="0"/>
    <x v="4"/>
    <x v="2"/>
    <n v="5"/>
    <n v="2001"/>
    <n v="10005"/>
  </r>
  <r>
    <x v="34"/>
    <x v="1"/>
    <x v="1"/>
    <x v="5"/>
    <x v="2"/>
    <n v="26"/>
    <n v="75"/>
    <n v="1950"/>
  </r>
  <r>
    <x v="34"/>
    <x v="2"/>
    <x v="1"/>
    <x v="5"/>
    <x v="2"/>
    <n v="8"/>
    <n v="315"/>
    <n v="2520"/>
  </r>
  <r>
    <x v="34"/>
    <x v="3"/>
    <x v="0"/>
    <x v="4"/>
    <x v="2"/>
    <n v="3"/>
    <n v="1080"/>
    <n v="3240"/>
  </r>
  <r>
    <x v="34"/>
    <x v="4"/>
    <x v="2"/>
    <x v="5"/>
    <x v="2"/>
    <n v="1"/>
    <n v="1575"/>
    <n v="1575"/>
  </r>
  <r>
    <x v="34"/>
    <x v="5"/>
    <x v="2"/>
    <x v="5"/>
    <x v="2"/>
    <n v="1"/>
    <n v="790"/>
    <n v="790"/>
  </r>
  <r>
    <x v="34"/>
    <x v="0"/>
    <x v="0"/>
    <x v="6"/>
    <x v="3"/>
    <n v="5"/>
    <n v="2001"/>
    <n v="10005"/>
  </r>
  <r>
    <x v="34"/>
    <x v="1"/>
    <x v="1"/>
    <x v="7"/>
    <x v="3"/>
    <n v="58"/>
    <n v="75"/>
    <n v="4350"/>
  </r>
  <r>
    <x v="34"/>
    <x v="2"/>
    <x v="1"/>
    <x v="7"/>
    <x v="3"/>
    <n v="13"/>
    <n v="315"/>
    <n v="4095"/>
  </r>
  <r>
    <x v="34"/>
    <x v="3"/>
    <x v="0"/>
    <x v="6"/>
    <x v="3"/>
    <n v="5"/>
    <n v="1080"/>
    <n v="5400"/>
  </r>
  <r>
    <x v="34"/>
    <x v="4"/>
    <x v="2"/>
    <x v="7"/>
    <x v="3"/>
    <n v="5"/>
    <n v="1575"/>
    <n v="7875"/>
  </r>
  <r>
    <x v="34"/>
    <x v="5"/>
    <x v="2"/>
    <x v="7"/>
    <x v="3"/>
    <n v="11"/>
    <n v="790"/>
    <n v="8690"/>
  </r>
  <r>
    <x v="34"/>
    <x v="0"/>
    <x v="0"/>
    <x v="8"/>
    <x v="4"/>
    <n v="5"/>
    <n v="2001"/>
    <n v="10005"/>
  </r>
  <r>
    <x v="34"/>
    <x v="1"/>
    <x v="1"/>
    <x v="9"/>
    <x v="4"/>
    <n v="32"/>
    <n v="75"/>
    <n v="2400"/>
  </r>
  <r>
    <x v="34"/>
    <x v="2"/>
    <x v="1"/>
    <x v="9"/>
    <x v="4"/>
    <n v="9"/>
    <n v="315"/>
    <n v="2835"/>
  </r>
  <r>
    <x v="34"/>
    <x v="3"/>
    <x v="0"/>
    <x v="8"/>
    <x v="4"/>
    <n v="3"/>
    <n v="1080"/>
    <n v="3240"/>
  </r>
  <r>
    <x v="34"/>
    <x v="4"/>
    <x v="2"/>
    <x v="8"/>
    <x v="4"/>
    <n v="2"/>
    <n v="1575"/>
    <n v="3150"/>
  </r>
  <r>
    <x v="34"/>
    <x v="5"/>
    <x v="2"/>
    <x v="8"/>
    <x v="4"/>
    <n v="11"/>
    <n v="790"/>
    <n v="8690"/>
  </r>
  <r>
    <x v="35"/>
    <x v="0"/>
    <x v="0"/>
    <x v="1"/>
    <x v="0"/>
    <n v="4"/>
    <n v="2001"/>
    <n v="8004"/>
  </r>
  <r>
    <x v="35"/>
    <x v="1"/>
    <x v="1"/>
    <x v="1"/>
    <x v="0"/>
    <n v="32"/>
    <n v="75"/>
    <n v="2400"/>
  </r>
  <r>
    <x v="35"/>
    <x v="2"/>
    <x v="1"/>
    <x v="1"/>
    <x v="0"/>
    <n v="12"/>
    <n v="315"/>
    <n v="3780"/>
  </r>
  <r>
    <x v="35"/>
    <x v="3"/>
    <x v="0"/>
    <x v="1"/>
    <x v="0"/>
    <n v="2"/>
    <n v="1080"/>
    <n v="2160"/>
  </r>
  <r>
    <x v="35"/>
    <x v="4"/>
    <x v="2"/>
    <x v="0"/>
    <x v="0"/>
    <n v="6"/>
    <n v="1575"/>
    <n v="9450"/>
  </r>
  <r>
    <x v="35"/>
    <x v="5"/>
    <x v="2"/>
    <x v="0"/>
    <x v="0"/>
    <n v="9"/>
    <n v="790"/>
    <n v="7110"/>
  </r>
  <r>
    <x v="35"/>
    <x v="0"/>
    <x v="0"/>
    <x v="2"/>
    <x v="1"/>
    <n v="6"/>
    <n v="2001"/>
    <n v="12006"/>
  </r>
  <r>
    <x v="35"/>
    <x v="1"/>
    <x v="1"/>
    <x v="3"/>
    <x v="1"/>
    <n v="59"/>
    <n v="75"/>
    <n v="4425"/>
  </r>
  <r>
    <x v="35"/>
    <x v="2"/>
    <x v="1"/>
    <x v="3"/>
    <x v="1"/>
    <n v="5"/>
    <n v="315"/>
    <n v="1575"/>
  </r>
  <r>
    <x v="35"/>
    <x v="3"/>
    <x v="0"/>
    <x v="2"/>
    <x v="1"/>
    <n v="3"/>
    <n v="1080"/>
    <n v="3240"/>
  </r>
  <r>
    <x v="35"/>
    <x v="4"/>
    <x v="2"/>
    <x v="3"/>
    <x v="1"/>
    <n v="3"/>
    <n v="1575"/>
    <n v="4725"/>
  </r>
  <r>
    <x v="35"/>
    <x v="5"/>
    <x v="2"/>
    <x v="3"/>
    <x v="1"/>
    <n v="8"/>
    <n v="790"/>
    <n v="6320"/>
  </r>
  <r>
    <x v="35"/>
    <x v="0"/>
    <x v="0"/>
    <x v="4"/>
    <x v="2"/>
    <n v="6"/>
    <n v="2001"/>
    <n v="12006"/>
  </r>
  <r>
    <x v="35"/>
    <x v="1"/>
    <x v="1"/>
    <x v="5"/>
    <x v="2"/>
    <n v="45"/>
    <n v="75"/>
    <n v="3375"/>
  </r>
  <r>
    <x v="35"/>
    <x v="2"/>
    <x v="1"/>
    <x v="5"/>
    <x v="2"/>
    <n v="6"/>
    <n v="315"/>
    <n v="1890"/>
  </r>
  <r>
    <x v="35"/>
    <x v="3"/>
    <x v="0"/>
    <x v="4"/>
    <x v="2"/>
    <n v="4"/>
    <n v="1080"/>
    <n v="4320"/>
  </r>
  <r>
    <x v="35"/>
    <x v="4"/>
    <x v="2"/>
    <x v="5"/>
    <x v="2"/>
    <n v="3"/>
    <n v="1575"/>
    <n v="4725"/>
  </r>
  <r>
    <x v="35"/>
    <x v="5"/>
    <x v="2"/>
    <x v="5"/>
    <x v="2"/>
    <n v="5"/>
    <n v="790"/>
    <n v="3950"/>
  </r>
  <r>
    <x v="35"/>
    <x v="0"/>
    <x v="0"/>
    <x v="6"/>
    <x v="3"/>
    <n v="5"/>
    <n v="2001"/>
    <n v="10005"/>
  </r>
  <r>
    <x v="35"/>
    <x v="1"/>
    <x v="1"/>
    <x v="7"/>
    <x v="3"/>
    <n v="31"/>
    <n v="75"/>
    <n v="2325"/>
  </r>
  <r>
    <x v="35"/>
    <x v="2"/>
    <x v="1"/>
    <x v="7"/>
    <x v="3"/>
    <n v="6"/>
    <n v="315"/>
    <n v="1890"/>
  </r>
  <r>
    <x v="35"/>
    <x v="3"/>
    <x v="0"/>
    <x v="6"/>
    <x v="3"/>
    <n v="4"/>
    <n v="1080"/>
    <n v="4320"/>
  </r>
  <r>
    <x v="35"/>
    <x v="4"/>
    <x v="2"/>
    <x v="7"/>
    <x v="3"/>
    <n v="6"/>
    <n v="1575"/>
    <n v="9450"/>
  </r>
  <r>
    <x v="35"/>
    <x v="5"/>
    <x v="2"/>
    <x v="7"/>
    <x v="3"/>
    <n v="10"/>
    <n v="790"/>
    <n v="7900"/>
  </r>
  <r>
    <x v="35"/>
    <x v="0"/>
    <x v="0"/>
    <x v="8"/>
    <x v="4"/>
    <n v="5"/>
    <n v="2001"/>
    <n v="10005"/>
  </r>
  <r>
    <x v="35"/>
    <x v="1"/>
    <x v="1"/>
    <x v="9"/>
    <x v="4"/>
    <n v="39"/>
    <n v="75"/>
    <n v="2925"/>
  </r>
  <r>
    <x v="35"/>
    <x v="2"/>
    <x v="1"/>
    <x v="9"/>
    <x v="4"/>
    <n v="11"/>
    <n v="315"/>
    <n v="3465"/>
  </r>
  <r>
    <x v="35"/>
    <x v="3"/>
    <x v="0"/>
    <x v="8"/>
    <x v="4"/>
    <n v="3"/>
    <n v="1080"/>
    <n v="3240"/>
  </r>
  <r>
    <x v="35"/>
    <x v="4"/>
    <x v="2"/>
    <x v="8"/>
    <x v="4"/>
    <n v="4"/>
    <n v="1575"/>
    <n v="6300"/>
  </r>
  <r>
    <x v="35"/>
    <x v="5"/>
    <x v="2"/>
    <x v="8"/>
    <x v="4"/>
    <n v="9"/>
    <n v="790"/>
    <n v="7110"/>
  </r>
  <r>
    <x v="36"/>
    <x v="0"/>
    <x v="0"/>
    <x v="1"/>
    <x v="0"/>
    <n v="3"/>
    <n v="2001"/>
    <n v="6003"/>
  </r>
  <r>
    <x v="36"/>
    <x v="1"/>
    <x v="1"/>
    <x v="1"/>
    <x v="0"/>
    <n v="57"/>
    <n v="75"/>
    <n v="4275"/>
  </r>
  <r>
    <x v="36"/>
    <x v="2"/>
    <x v="1"/>
    <x v="1"/>
    <x v="0"/>
    <n v="13"/>
    <n v="315"/>
    <n v="4095"/>
  </r>
  <r>
    <x v="36"/>
    <x v="3"/>
    <x v="0"/>
    <x v="1"/>
    <x v="0"/>
    <n v="4"/>
    <n v="1080"/>
    <n v="4320"/>
  </r>
  <r>
    <x v="36"/>
    <x v="4"/>
    <x v="2"/>
    <x v="0"/>
    <x v="0"/>
    <n v="6"/>
    <n v="1575"/>
    <n v="9450"/>
  </r>
  <r>
    <x v="36"/>
    <x v="5"/>
    <x v="2"/>
    <x v="0"/>
    <x v="0"/>
    <n v="7"/>
    <n v="790"/>
    <n v="5530"/>
  </r>
  <r>
    <x v="36"/>
    <x v="0"/>
    <x v="0"/>
    <x v="2"/>
    <x v="1"/>
    <n v="5"/>
    <n v="2001"/>
    <n v="10005"/>
  </r>
  <r>
    <x v="36"/>
    <x v="1"/>
    <x v="1"/>
    <x v="3"/>
    <x v="1"/>
    <n v="40"/>
    <n v="75"/>
    <n v="3000"/>
  </r>
  <r>
    <x v="36"/>
    <x v="2"/>
    <x v="1"/>
    <x v="3"/>
    <x v="1"/>
    <n v="13"/>
    <n v="315"/>
    <n v="4095"/>
  </r>
  <r>
    <x v="36"/>
    <x v="3"/>
    <x v="0"/>
    <x v="2"/>
    <x v="1"/>
    <n v="3"/>
    <n v="1080"/>
    <n v="3240"/>
  </r>
  <r>
    <x v="36"/>
    <x v="4"/>
    <x v="2"/>
    <x v="3"/>
    <x v="1"/>
    <n v="2"/>
    <n v="1575"/>
    <n v="3150"/>
  </r>
  <r>
    <x v="36"/>
    <x v="5"/>
    <x v="2"/>
    <x v="3"/>
    <x v="1"/>
    <n v="11"/>
    <n v="790"/>
    <n v="8690"/>
  </r>
  <r>
    <x v="36"/>
    <x v="0"/>
    <x v="0"/>
    <x v="4"/>
    <x v="2"/>
    <n v="4"/>
    <n v="2001"/>
    <n v="8004"/>
  </r>
  <r>
    <x v="36"/>
    <x v="1"/>
    <x v="1"/>
    <x v="5"/>
    <x v="2"/>
    <n v="26"/>
    <n v="75"/>
    <n v="1950"/>
  </r>
  <r>
    <x v="36"/>
    <x v="2"/>
    <x v="1"/>
    <x v="5"/>
    <x v="2"/>
    <n v="11"/>
    <n v="315"/>
    <n v="3465"/>
  </r>
  <r>
    <x v="36"/>
    <x v="3"/>
    <x v="0"/>
    <x v="4"/>
    <x v="2"/>
    <n v="4"/>
    <n v="1080"/>
    <n v="4320"/>
  </r>
  <r>
    <x v="36"/>
    <x v="4"/>
    <x v="2"/>
    <x v="5"/>
    <x v="2"/>
    <n v="3"/>
    <n v="1575"/>
    <n v="4725"/>
  </r>
  <r>
    <x v="36"/>
    <x v="5"/>
    <x v="2"/>
    <x v="5"/>
    <x v="2"/>
    <n v="6"/>
    <n v="790"/>
    <n v="4740"/>
  </r>
  <r>
    <x v="36"/>
    <x v="0"/>
    <x v="0"/>
    <x v="6"/>
    <x v="3"/>
    <n v="3"/>
    <n v="2001"/>
    <n v="6003"/>
  </r>
  <r>
    <x v="36"/>
    <x v="1"/>
    <x v="1"/>
    <x v="7"/>
    <x v="3"/>
    <n v="44"/>
    <n v="75"/>
    <n v="3300"/>
  </r>
  <r>
    <x v="36"/>
    <x v="2"/>
    <x v="1"/>
    <x v="7"/>
    <x v="3"/>
    <n v="11"/>
    <n v="315"/>
    <n v="3465"/>
  </r>
  <r>
    <x v="36"/>
    <x v="3"/>
    <x v="0"/>
    <x v="6"/>
    <x v="3"/>
    <n v="4"/>
    <n v="1080"/>
    <n v="4320"/>
  </r>
  <r>
    <x v="36"/>
    <x v="4"/>
    <x v="2"/>
    <x v="7"/>
    <x v="3"/>
    <n v="4"/>
    <n v="1575"/>
    <n v="6300"/>
  </r>
  <r>
    <x v="36"/>
    <x v="5"/>
    <x v="2"/>
    <x v="7"/>
    <x v="3"/>
    <n v="9"/>
    <n v="790"/>
    <n v="7110"/>
  </r>
  <r>
    <x v="36"/>
    <x v="0"/>
    <x v="0"/>
    <x v="8"/>
    <x v="4"/>
    <n v="6"/>
    <n v="2001"/>
    <n v="12006"/>
  </r>
  <r>
    <x v="36"/>
    <x v="1"/>
    <x v="1"/>
    <x v="9"/>
    <x v="4"/>
    <n v="49"/>
    <n v="75"/>
    <n v="3675"/>
  </r>
  <r>
    <x v="36"/>
    <x v="2"/>
    <x v="1"/>
    <x v="9"/>
    <x v="4"/>
    <n v="15"/>
    <n v="315"/>
    <n v="4725"/>
  </r>
  <r>
    <x v="36"/>
    <x v="3"/>
    <x v="0"/>
    <x v="8"/>
    <x v="4"/>
    <n v="6"/>
    <n v="1080"/>
    <n v="6480"/>
  </r>
  <r>
    <x v="36"/>
    <x v="4"/>
    <x v="2"/>
    <x v="8"/>
    <x v="4"/>
    <n v="4"/>
    <n v="1575"/>
    <n v="6300"/>
  </r>
  <r>
    <x v="36"/>
    <x v="5"/>
    <x v="2"/>
    <x v="8"/>
    <x v="4"/>
    <n v="5"/>
    <n v="790"/>
    <n v="3950"/>
  </r>
  <r>
    <x v="37"/>
    <x v="0"/>
    <x v="0"/>
    <x v="1"/>
    <x v="0"/>
    <n v="5"/>
    <n v="2001"/>
    <n v="10005"/>
  </r>
  <r>
    <x v="37"/>
    <x v="1"/>
    <x v="1"/>
    <x v="1"/>
    <x v="0"/>
    <n v="32"/>
    <n v="75"/>
    <n v="2400"/>
  </r>
  <r>
    <x v="37"/>
    <x v="2"/>
    <x v="1"/>
    <x v="1"/>
    <x v="0"/>
    <n v="10"/>
    <n v="315"/>
    <n v="3150"/>
  </r>
  <r>
    <x v="37"/>
    <x v="3"/>
    <x v="0"/>
    <x v="1"/>
    <x v="0"/>
    <n v="3"/>
    <n v="1080"/>
    <n v="3240"/>
  </r>
  <r>
    <x v="37"/>
    <x v="4"/>
    <x v="2"/>
    <x v="0"/>
    <x v="0"/>
    <n v="2"/>
    <n v="1575"/>
    <n v="3150"/>
  </r>
  <r>
    <x v="37"/>
    <x v="5"/>
    <x v="2"/>
    <x v="0"/>
    <x v="0"/>
    <n v="5"/>
    <n v="790"/>
    <n v="3950"/>
  </r>
  <r>
    <x v="37"/>
    <x v="0"/>
    <x v="0"/>
    <x v="2"/>
    <x v="1"/>
    <n v="6"/>
    <n v="2001"/>
    <n v="12006"/>
  </r>
  <r>
    <x v="37"/>
    <x v="1"/>
    <x v="1"/>
    <x v="3"/>
    <x v="1"/>
    <n v="37"/>
    <n v="75"/>
    <n v="2775"/>
  </r>
  <r>
    <x v="37"/>
    <x v="2"/>
    <x v="1"/>
    <x v="3"/>
    <x v="1"/>
    <n v="9"/>
    <n v="315"/>
    <n v="2835"/>
  </r>
  <r>
    <x v="37"/>
    <x v="3"/>
    <x v="0"/>
    <x v="2"/>
    <x v="1"/>
    <n v="2"/>
    <n v="1080"/>
    <n v="2160"/>
  </r>
  <r>
    <x v="37"/>
    <x v="4"/>
    <x v="2"/>
    <x v="3"/>
    <x v="1"/>
    <n v="2"/>
    <n v="1575"/>
    <n v="3150"/>
  </r>
  <r>
    <x v="37"/>
    <x v="5"/>
    <x v="2"/>
    <x v="3"/>
    <x v="1"/>
    <n v="7"/>
    <n v="790"/>
    <n v="5530"/>
  </r>
  <r>
    <x v="37"/>
    <x v="0"/>
    <x v="0"/>
    <x v="4"/>
    <x v="2"/>
    <n v="5"/>
    <n v="2001"/>
    <n v="10005"/>
  </r>
  <r>
    <x v="37"/>
    <x v="1"/>
    <x v="1"/>
    <x v="5"/>
    <x v="2"/>
    <n v="26"/>
    <n v="75"/>
    <n v="1950"/>
  </r>
  <r>
    <x v="37"/>
    <x v="2"/>
    <x v="1"/>
    <x v="5"/>
    <x v="2"/>
    <n v="5"/>
    <n v="315"/>
    <n v="1575"/>
  </r>
  <r>
    <x v="37"/>
    <x v="3"/>
    <x v="0"/>
    <x v="4"/>
    <x v="2"/>
    <n v="6"/>
    <n v="1080"/>
    <n v="6480"/>
  </r>
  <r>
    <x v="37"/>
    <x v="4"/>
    <x v="2"/>
    <x v="5"/>
    <x v="2"/>
    <n v="5"/>
    <n v="1575"/>
    <n v="7875"/>
  </r>
  <r>
    <x v="37"/>
    <x v="5"/>
    <x v="2"/>
    <x v="5"/>
    <x v="2"/>
    <n v="5"/>
    <n v="790"/>
    <n v="3950"/>
  </r>
  <r>
    <x v="37"/>
    <x v="0"/>
    <x v="0"/>
    <x v="6"/>
    <x v="3"/>
    <n v="3"/>
    <n v="2001"/>
    <n v="6003"/>
  </r>
  <r>
    <x v="37"/>
    <x v="1"/>
    <x v="1"/>
    <x v="7"/>
    <x v="3"/>
    <n v="31"/>
    <n v="75"/>
    <n v="2325"/>
  </r>
  <r>
    <x v="37"/>
    <x v="2"/>
    <x v="1"/>
    <x v="7"/>
    <x v="3"/>
    <n v="8"/>
    <n v="315"/>
    <n v="2520"/>
  </r>
  <r>
    <x v="37"/>
    <x v="3"/>
    <x v="0"/>
    <x v="6"/>
    <x v="3"/>
    <n v="4"/>
    <n v="1080"/>
    <n v="4320"/>
  </r>
  <r>
    <x v="37"/>
    <x v="4"/>
    <x v="2"/>
    <x v="7"/>
    <x v="3"/>
    <n v="6"/>
    <n v="1575"/>
    <n v="9450"/>
  </r>
  <r>
    <x v="37"/>
    <x v="5"/>
    <x v="2"/>
    <x v="7"/>
    <x v="3"/>
    <n v="11"/>
    <n v="790"/>
    <n v="8690"/>
  </r>
  <r>
    <x v="37"/>
    <x v="0"/>
    <x v="0"/>
    <x v="8"/>
    <x v="4"/>
    <n v="5"/>
    <n v="2001"/>
    <n v="10005"/>
  </r>
  <r>
    <x v="37"/>
    <x v="1"/>
    <x v="1"/>
    <x v="9"/>
    <x v="4"/>
    <n v="33"/>
    <n v="75"/>
    <n v="2475"/>
  </r>
  <r>
    <x v="37"/>
    <x v="2"/>
    <x v="1"/>
    <x v="9"/>
    <x v="4"/>
    <n v="6"/>
    <n v="315"/>
    <n v="1890"/>
  </r>
  <r>
    <x v="37"/>
    <x v="3"/>
    <x v="0"/>
    <x v="8"/>
    <x v="4"/>
    <n v="6"/>
    <n v="1080"/>
    <n v="6480"/>
  </r>
  <r>
    <x v="37"/>
    <x v="4"/>
    <x v="2"/>
    <x v="8"/>
    <x v="4"/>
    <n v="5"/>
    <n v="1575"/>
    <n v="7875"/>
  </r>
  <r>
    <x v="37"/>
    <x v="5"/>
    <x v="2"/>
    <x v="8"/>
    <x v="4"/>
    <n v="10"/>
    <n v="790"/>
    <n v="7900"/>
  </r>
  <r>
    <x v="38"/>
    <x v="0"/>
    <x v="0"/>
    <x v="1"/>
    <x v="0"/>
    <n v="5"/>
    <n v="2001"/>
    <n v="10005"/>
  </r>
  <r>
    <x v="38"/>
    <x v="1"/>
    <x v="1"/>
    <x v="1"/>
    <x v="0"/>
    <n v="34"/>
    <n v="75"/>
    <n v="2550"/>
  </r>
  <r>
    <x v="38"/>
    <x v="2"/>
    <x v="1"/>
    <x v="1"/>
    <x v="0"/>
    <n v="11"/>
    <n v="315"/>
    <n v="3465"/>
  </r>
  <r>
    <x v="38"/>
    <x v="3"/>
    <x v="0"/>
    <x v="1"/>
    <x v="0"/>
    <n v="3"/>
    <n v="1080"/>
    <n v="3240"/>
  </r>
  <r>
    <x v="38"/>
    <x v="4"/>
    <x v="2"/>
    <x v="0"/>
    <x v="0"/>
    <n v="6"/>
    <n v="1575"/>
    <n v="9450"/>
  </r>
  <r>
    <x v="38"/>
    <x v="5"/>
    <x v="2"/>
    <x v="0"/>
    <x v="0"/>
    <n v="9"/>
    <n v="790"/>
    <n v="7110"/>
  </r>
  <r>
    <x v="38"/>
    <x v="0"/>
    <x v="0"/>
    <x v="2"/>
    <x v="1"/>
    <n v="3"/>
    <n v="2001"/>
    <n v="6003"/>
  </r>
  <r>
    <x v="38"/>
    <x v="1"/>
    <x v="1"/>
    <x v="3"/>
    <x v="1"/>
    <n v="32"/>
    <n v="75"/>
    <n v="2400"/>
  </r>
  <r>
    <x v="38"/>
    <x v="2"/>
    <x v="1"/>
    <x v="3"/>
    <x v="1"/>
    <n v="14"/>
    <n v="315"/>
    <n v="4410"/>
  </r>
  <r>
    <x v="38"/>
    <x v="3"/>
    <x v="0"/>
    <x v="2"/>
    <x v="1"/>
    <n v="5"/>
    <n v="1080"/>
    <n v="5400"/>
  </r>
  <r>
    <x v="38"/>
    <x v="4"/>
    <x v="2"/>
    <x v="3"/>
    <x v="1"/>
    <n v="6"/>
    <n v="1575"/>
    <n v="9450"/>
  </r>
  <r>
    <x v="38"/>
    <x v="5"/>
    <x v="2"/>
    <x v="3"/>
    <x v="1"/>
    <n v="6"/>
    <n v="790"/>
    <n v="4740"/>
  </r>
  <r>
    <x v="38"/>
    <x v="0"/>
    <x v="0"/>
    <x v="4"/>
    <x v="2"/>
    <n v="4"/>
    <n v="2001"/>
    <n v="8004"/>
  </r>
  <r>
    <x v="38"/>
    <x v="1"/>
    <x v="1"/>
    <x v="5"/>
    <x v="2"/>
    <n v="26"/>
    <n v="75"/>
    <n v="1950"/>
  </r>
  <r>
    <x v="38"/>
    <x v="2"/>
    <x v="1"/>
    <x v="5"/>
    <x v="2"/>
    <n v="11"/>
    <n v="315"/>
    <n v="3465"/>
  </r>
  <r>
    <x v="38"/>
    <x v="3"/>
    <x v="0"/>
    <x v="4"/>
    <x v="2"/>
    <n v="5"/>
    <n v="1080"/>
    <n v="5400"/>
  </r>
  <r>
    <x v="38"/>
    <x v="4"/>
    <x v="2"/>
    <x v="5"/>
    <x v="2"/>
    <n v="5"/>
    <n v="1575"/>
    <n v="7875"/>
  </r>
  <r>
    <x v="38"/>
    <x v="5"/>
    <x v="2"/>
    <x v="5"/>
    <x v="2"/>
    <n v="11"/>
    <n v="790"/>
    <n v="8690"/>
  </r>
  <r>
    <x v="38"/>
    <x v="0"/>
    <x v="0"/>
    <x v="6"/>
    <x v="3"/>
    <n v="6"/>
    <n v="2001"/>
    <n v="12006"/>
  </r>
  <r>
    <x v="38"/>
    <x v="1"/>
    <x v="1"/>
    <x v="7"/>
    <x v="3"/>
    <n v="33"/>
    <n v="75"/>
    <n v="2475"/>
  </r>
  <r>
    <x v="38"/>
    <x v="2"/>
    <x v="1"/>
    <x v="7"/>
    <x v="3"/>
    <n v="12"/>
    <n v="315"/>
    <n v="3780"/>
  </r>
  <r>
    <x v="38"/>
    <x v="3"/>
    <x v="0"/>
    <x v="6"/>
    <x v="3"/>
    <n v="2"/>
    <n v="1080"/>
    <n v="2160"/>
  </r>
  <r>
    <x v="38"/>
    <x v="4"/>
    <x v="2"/>
    <x v="7"/>
    <x v="3"/>
    <n v="4"/>
    <n v="1575"/>
    <n v="6300"/>
  </r>
  <r>
    <x v="38"/>
    <x v="5"/>
    <x v="2"/>
    <x v="7"/>
    <x v="3"/>
    <n v="6"/>
    <n v="790"/>
    <n v="4740"/>
  </r>
  <r>
    <x v="38"/>
    <x v="0"/>
    <x v="0"/>
    <x v="8"/>
    <x v="4"/>
    <n v="5"/>
    <n v="2001"/>
    <n v="10005"/>
  </r>
  <r>
    <x v="38"/>
    <x v="1"/>
    <x v="1"/>
    <x v="9"/>
    <x v="4"/>
    <n v="44"/>
    <n v="75"/>
    <n v="3300"/>
  </r>
  <r>
    <x v="38"/>
    <x v="2"/>
    <x v="1"/>
    <x v="9"/>
    <x v="4"/>
    <n v="13"/>
    <n v="315"/>
    <n v="4095"/>
  </r>
  <r>
    <x v="38"/>
    <x v="3"/>
    <x v="0"/>
    <x v="8"/>
    <x v="4"/>
    <n v="3"/>
    <n v="1080"/>
    <n v="3240"/>
  </r>
  <r>
    <x v="38"/>
    <x v="4"/>
    <x v="2"/>
    <x v="8"/>
    <x v="4"/>
    <n v="3"/>
    <n v="1575"/>
    <n v="4725"/>
  </r>
  <r>
    <x v="38"/>
    <x v="5"/>
    <x v="2"/>
    <x v="8"/>
    <x v="4"/>
    <n v="7"/>
    <n v="790"/>
    <n v="5530"/>
  </r>
  <r>
    <x v="39"/>
    <x v="0"/>
    <x v="0"/>
    <x v="1"/>
    <x v="0"/>
    <n v="6"/>
    <n v="2001"/>
    <n v="12006"/>
  </r>
  <r>
    <x v="39"/>
    <x v="1"/>
    <x v="1"/>
    <x v="1"/>
    <x v="0"/>
    <n v="43"/>
    <n v="75"/>
    <n v="3225"/>
  </r>
  <r>
    <x v="39"/>
    <x v="2"/>
    <x v="1"/>
    <x v="1"/>
    <x v="0"/>
    <n v="5"/>
    <n v="315"/>
    <n v="1575"/>
  </r>
  <r>
    <x v="39"/>
    <x v="3"/>
    <x v="0"/>
    <x v="1"/>
    <x v="0"/>
    <n v="3"/>
    <n v="1080"/>
    <n v="3240"/>
  </r>
  <r>
    <x v="39"/>
    <x v="4"/>
    <x v="2"/>
    <x v="0"/>
    <x v="0"/>
    <n v="2"/>
    <n v="1575"/>
    <n v="3150"/>
  </r>
  <r>
    <x v="39"/>
    <x v="5"/>
    <x v="2"/>
    <x v="0"/>
    <x v="0"/>
    <n v="8"/>
    <n v="790"/>
    <n v="6320"/>
  </r>
  <r>
    <x v="39"/>
    <x v="0"/>
    <x v="0"/>
    <x v="2"/>
    <x v="1"/>
    <n v="6"/>
    <n v="2001"/>
    <n v="12006"/>
  </r>
  <r>
    <x v="39"/>
    <x v="1"/>
    <x v="1"/>
    <x v="3"/>
    <x v="1"/>
    <n v="53"/>
    <n v="75"/>
    <n v="3975"/>
  </r>
  <r>
    <x v="39"/>
    <x v="2"/>
    <x v="1"/>
    <x v="3"/>
    <x v="1"/>
    <n v="10"/>
    <n v="315"/>
    <n v="3150"/>
  </r>
  <r>
    <x v="39"/>
    <x v="3"/>
    <x v="0"/>
    <x v="2"/>
    <x v="1"/>
    <n v="6"/>
    <n v="1080"/>
    <n v="6480"/>
  </r>
  <r>
    <x v="39"/>
    <x v="4"/>
    <x v="2"/>
    <x v="3"/>
    <x v="1"/>
    <n v="4"/>
    <n v="1575"/>
    <n v="6300"/>
  </r>
  <r>
    <x v="39"/>
    <x v="5"/>
    <x v="2"/>
    <x v="3"/>
    <x v="1"/>
    <n v="7"/>
    <n v="790"/>
    <n v="5530"/>
  </r>
  <r>
    <x v="39"/>
    <x v="0"/>
    <x v="0"/>
    <x v="4"/>
    <x v="2"/>
    <n v="6"/>
    <n v="2001"/>
    <n v="12006"/>
  </r>
  <r>
    <x v="39"/>
    <x v="1"/>
    <x v="1"/>
    <x v="5"/>
    <x v="2"/>
    <n v="35"/>
    <n v="75"/>
    <n v="2625"/>
  </r>
  <r>
    <x v="39"/>
    <x v="2"/>
    <x v="1"/>
    <x v="5"/>
    <x v="2"/>
    <n v="8"/>
    <n v="315"/>
    <n v="2520"/>
  </r>
  <r>
    <x v="39"/>
    <x v="3"/>
    <x v="0"/>
    <x v="4"/>
    <x v="2"/>
    <n v="4"/>
    <n v="1080"/>
    <n v="4320"/>
  </r>
  <r>
    <x v="39"/>
    <x v="4"/>
    <x v="2"/>
    <x v="5"/>
    <x v="2"/>
    <n v="6"/>
    <n v="1575"/>
    <n v="9450"/>
  </r>
  <r>
    <x v="39"/>
    <x v="5"/>
    <x v="2"/>
    <x v="5"/>
    <x v="2"/>
    <n v="8"/>
    <n v="790"/>
    <n v="6320"/>
  </r>
  <r>
    <x v="39"/>
    <x v="0"/>
    <x v="0"/>
    <x v="6"/>
    <x v="3"/>
    <n v="6"/>
    <n v="2001"/>
    <n v="12006"/>
  </r>
  <r>
    <x v="39"/>
    <x v="1"/>
    <x v="1"/>
    <x v="7"/>
    <x v="3"/>
    <n v="52"/>
    <n v="75"/>
    <n v="3900"/>
  </r>
  <r>
    <x v="39"/>
    <x v="2"/>
    <x v="1"/>
    <x v="7"/>
    <x v="3"/>
    <n v="14"/>
    <n v="315"/>
    <n v="4410"/>
  </r>
  <r>
    <x v="39"/>
    <x v="3"/>
    <x v="0"/>
    <x v="6"/>
    <x v="3"/>
    <n v="6"/>
    <n v="1080"/>
    <n v="6480"/>
  </r>
  <r>
    <x v="39"/>
    <x v="4"/>
    <x v="2"/>
    <x v="7"/>
    <x v="3"/>
    <n v="5"/>
    <n v="1575"/>
    <n v="7875"/>
  </r>
  <r>
    <x v="39"/>
    <x v="5"/>
    <x v="2"/>
    <x v="7"/>
    <x v="3"/>
    <n v="9"/>
    <n v="790"/>
    <n v="7110"/>
  </r>
  <r>
    <x v="39"/>
    <x v="0"/>
    <x v="0"/>
    <x v="8"/>
    <x v="4"/>
    <n v="6"/>
    <n v="2001"/>
    <n v="12006"/>
  </r>
  <r>
    <x v="39"/>
    <x v="1"/>
    <x v="1"/>
    <x v="9"/>
    <x v="4"/>
    <n v="58"/>
    <n v="75"/>
    <n v="4350"/>
  </r>
  <r>
    <x v="39"/>
    <x v="2"/>
    <x v="1"/>
    <x v="9"/>
    <x v="4"/>
    <n v="8"/>
    <n v="315"/>
    <n v="2520"/>
  </r>
  <r>
    <x v="39"/>
    <x v="3"/>
    <x v="0"/>
    <x v="8"/>
    <x v="4"/>
    <n v="4"/>
    <n v="1080"/>
    <n v="4320"/>
  </r>
  <r>
    <x v="39"/>
    <x v="4"/>
    <x v="2"/>
    <x v="8"/>
    <x v="4"/>
    <n v="5"/>
    <n v="1575"/>
    <n v="7875"/>
  </r>
  <r>
    <x v="39"/>
    <x v="5"/>
    <x v="2"/>
    <x v="8"/>
    <x v="4"/>
    <n v="7"/>
    <n v="790"/>
    <n v="5530"/>
  </r>
  <r>
    <x v="40"/>
    <x v="0"/>
    <x v="0"/>
    <x v="1"/>
    <x v="0"/>
    <n v="5"/>
    <n v="2001"/>
    <n v="10005"/>
  </r>
  <r>
    <x v="40"/>
    <x v="1"/>
    <x v="1"/>
    <x v="1"/>
    <x v="0"/>
    <n v="36"/>
    <n v="75"/>
    <n v="2700"/>
  </r>
  <r>
    <x v="40"/>
    <x v="2"/>
    <x v="1"/>
    <x v="1"/>
    <x v="0"/>
    <n v="12"/>
    <n v="315"/>
    <n v="3780"/>
  </r>
  <r>
    <x v="40"/>
    <x v="3"/>
    <x v="0"/>
    <x v="1"/>
    <x v="0"/>
    <n v="4"/>
    <n v="1080"/>
    <n v="4320"/>
  </r>
  <r>
    <x v="40"/>
    <x v="4"/>
    <x v="2"/>
    <x v="0"/>
    <x v="0"/>
    <n v="3"/>
    <n v="1575"/>
    <n v="4725"/>
  </r>
  <r>
    <x v="40"/>
    <x v="5"/>
    <x v="2"/>
    <x v="0"/>
    <x v="0"/>
    <n v="9"/>
    <n v="790"/>
    <n v="7110"/>
  </r>
  <r>
    <x v="40"/>
    <x v="0"/>
    <x v="0"/>
    <x v="2"/>
    <x v="1"/>
    <n v="5"/>
    <n v="2001"/>
    <n v="10005"/>
  </r>
  <r>
    <x v="40"/>
    <x v="1"/>
    <x v="1"/>
    <x v="3"/>
    <x v="1"/>
    <n v="33"/>
    <n v="75"/>
    <n v="2475"/>
  </r>
  <r>
    <x v="40"/>
    <x v="2"/>
    <x v="1"/>
    <x v="3"/>
    <x v="1"/>
    <n v="10"/>
    <n v="315"/>
    <n v="3150"/>
  </r>
  <r>
    <x v="40"/>
    <x v="3"/>
    <x v="0"/>
    <x v="2"/>
    <x v="1"/>
    <n v="3"/>
    <n v="1080"/>
    <n v="3240"/>
  </r>
  <r>
    <x v="40"/>
    <x v="4"/>
    <x v="2"/>
    <x v="3"/>
    <x v="1"/>
    <n v="3"/>
    <n v="1575"/>
    <n v="4725"/>
  </r>
  <r>
    <x v="40"/>
    <x v="5"/>
    <x v="2"/>
    <x v="3"/>
    <x v="1"/>
    <n v="9"/>
    <n v="790"/>
    <n v="7110"/>
  </r>
  <r>
    <x v="40"/>
    <x v="0"/>
    <x v="0"/>
    <x v="4"/>
    <x v="2"/>
    <n v="6"/>
    <n v="2001"/>
    <n v="12006"/>
  </r>
  <r>
    <x v="40"/>
    <x v="1"/>
    <x v="1"/>
    <x v="5"/>
    <x v="2"/>
    <n v="26"/>
    <n v="75"/>
    <n v="1950"/>
  </r>
  <r>
    <x v="40"/>
    <x v="2"/>
    <x v="1"/>
    <x v="4"/>
    <x v="2"/>
    <n v="11"/>
    <n v="315"/>
    <n v="3465"/>
  </r>
  <r>
    <x v="40"/>
    <x v="3"/>
    <x v="0"/>
    <x v="4"/>
    <x v="2"/>
    <n v="4"/>
    <n v="1080"/>
    <n v="4320"/>
  </r>
  <r>
    <x v="40"/>
    <x v="4"/>
    <x v="2"/>
    <x v="5"/>
    <x v="2"/>
    <n v="3"/>
    <n v="1575"/>
    <n v="4725"/>
  </r>
  <r>
    <x v="40"/>
    <x v="5"/>
    <x v="2"/>
    <x v="5"/>
    <x v="2"/>
    <n v="8"/>
    <n v="790"/>
    <n v="6320"/>
  </r>
  <r>
    <x v="40"/>
    <x v="0"/>
    <x v="0"/>
    <x v="6"/>
    <x v="3"/>
    <n v="3"/>
    <n v="2001"/>
    <n v="6003"/>
  </r>
  <r>
    <x v="40"/>
    <x v="1"/>
    <x v="1"/>
    <x v="7"/>
    <x v="3"/>
    <n v="41"/>
    <n v="75"/>
    <n v="3075"/>
  </r>
  <r>
    <x v="40"/>
    <x v="2"/>
    <x v="1"/>
    <x v="7"/>
    <x v="3"/>
    <n v="8"/>
    <n v="315"/>
    <n v="2520"/>
  </r>
  <r>
    <x v="40"/>
    <x v="3"/>
    <x v="0"/>
    <x v="6"/>
    <x v="3"/>
    <n v="5"/>
    <n v="1080"/>
    <n v="5400"/>
  </r>
  <r>
    <x v="40"/>
    <x v="4"/>
    <x v="2"/>
    <x v="7"/>
    <x v="3"/>
    <n v="6"/>
    <n v="1575"/>
    <n v="9450"/>
  </r>
  <r>
    <x v="40"/>
    <x v="5"/>
    <x v="2"/>
    <x v="7"/>
    <x v="3"/>
    <n v="7"/>
    <n v="790"/>
    <n v="5530"/>
  </r>
  <r>
    <x v="40"/>
    <x v="0"/>
    <x v="0"/>
    <x v="8"/>
    <x v="4"/>
    <n v="6"/>
    <n v="2001"/>
    <n v="12006"/>
  </r>
  <r>
    <x v="40"/>
    <x v="1"/>
    <x v="1"/>
    <x v="9"/>
    <x v="4"/>
    <n v="43"/>
    <n v="75"/>
    <n v="3225"/>
  </r>
  <r>
    <x v="40"/>
    <x v="2"/>
    <x v="1"/>
    <x v="9"/>
    <x v="4"/>
    <n v="8"/>
    <n v="315"/>
    <n v="2520"/>
  </r>
  <r>
    <x v="40"/>
    <x v="3"/>
    <x v="0"/>
    <x v="8"/>
    <x v="4"/>
    <n v="5"/>
    <n v="1080"/>
    <n v="5400"/>
  </r>
  <r>
    <x v="40"/>
    <x v="4"/>
    <x v="2"/>
    <x v="8"/>
    <x v="4"/>
    <n v="6"/>
    <n v="1575"/>
    <n v="9450"/>
  </r>
  <r>
    <x v="40"/>
    <x v="5"/>
    <x v="2"/>
    <x v="8"/>
    <x v="4"/>
    <n v="7"/>
    <n v="790"/>
    <n v="5530"/>
  </r>
  <r>
    <x v="41"/>
    <x v="0"/>
    <x v="0"/>
    <x v="1"/>
    <x v="0"/>
    <n v="5"/>
    <n v="2001"/>
    <n v="10005"/>
  </r>
  <r>
    <x v="41"/>
    <x v="1"/>
    <x v="1"/>
    <x v="1"/>
    <x v="0"/>
    <n v="32"/>
    <n v="75"/>
    <n v="2400"/>
  </r>
  <r>
    <x v="41"/>
    <x v="2"/>
    <x v="1"/>
    <x v="1"/>
    <x v="0"/>
    <n v="7"/>
    <n v="315"/>
    <n v="2205"/>
  </r>
  <r>
    <x v="41"/>
    <x v="3"/>
    <x v="0"/>
    <x v="1"/>
    <x v="0"/>
    <n v="6"/>
    <n v="1080"/>
    <n v="6480"/>
  </r>
  <r>
    <x v="41"/>
    <x v="4"/>
    <x v="2"/>
    <x v="0"/>
    <x v="0"/>
    <n v="4"/>
    <n v="1575"/>
    <n v="6300"/>
  </r>
  <r>
    <x v="41"/>
    <x v="5"/>
    <x v="2"/>
    <x v="0"/>
    <x v="0"/>
    <n v="7"/>
    <n v="790"/>
    <n v="5530"/>
  </r>
  <r>
    <x v="41"/>
    <x v="0"/>
    <x v="0"/>
    <x v="2"/>
    <x v="1"/>
    <n v="3"/>
    <n v="2001"/>
    <n v="6003"/>
  </r>
  <r>
    <x v="41"/>
    <x v="1"/>
    <x v="1"/>
    <x v="3"/>
    <x v="1"/>
    <n v="53"/>
    <n v="75"/>
    <n v="3975"/>
  </r>
  <r>
    <x v="41"/>
    <x v="2"/>
    <x v="1"/>
    <x v="3"/>
    <x v="1"/>
    <n v="14"/>
    <n v="315"/>
    <n v="4410"/>
  </r>
  <r>
    <x v="41"/>
    <x v="3"/>
    <x v="0"/>
    <x v="2"/>
    <x v="1"/>
    <n v="5"/>
    <n v="1080"/>
    <n v="5400"/>
  </r>
  <r>
    <x v="41"/>
    <x v="4"/>
    <x v="2"/>
    <x v="3"/>
    <x v="1"/>
    <n v="2"/>
    <n v="1575"/>
    <n v="3150"/>
  </r>
  <r>
    <x v="41"/>
    <x v="5"/>
    <x v="2"/>
    <x v="3"/>
    <x v="1"/>
    <n v="9"/>
    <n v="790"/>
    <n v="7110"/>
  </r>
  <r>
    <x v="41"/>
    <x v="0"/>
    <x v="0"/>
    <x v="4"/>
    <x v="2"/>
    <n v="4"/>
    <n v="2001"/>
    <n v="8004"/>
  </r>
  <r>
    <x v="41"/>
    <x v="1"/>
    <x v="1"/>
    <x v="4"/>
    <x v="2"/>
    <n v="23"/>
    <n v="75"/>
    <n v="1725"/>
  </r>
  <r>
    <x v="41"/>
    <x v="2"/>
    <x v="1"/>
    <x v="4"/>
    <x v="2"/>
    <n v="5"/>
    <n v="315"/>
    <n v="1575"/>
  </r>
  <r>
    <x v="41"/>
    <x v="3"/>
    <x v="0"/>
    <x v="4"/>
    <x v="2"/>
    <n v="2"/>
    <n v="1080"/>
    <n v="2160"/>
  </r>
  <r>
    <x v="41"/>
    <x v="4"/>
    <x v="2"/>
    <x v="5"/>
    <x v="2"/>
    <n v="2"/>
    <n v="1575"/>
    <n v="3150"/>
  </r>
  <r>
    <x v="41"/>
    <x v="5"/>
    <x v="2"/>
    <x v="5"/>
    <x v="2"/>
    <n v="9"/>
    <n v="790"/>
    <n v="7110"/>
  </r>
  <r>
    <x v="41"/>
    <x v="0"/>
    <x v="0"/>
    <x v="6"/>
    <x v="3"/>
    <n v="3"/>
    <n v="2001"/>
    <n v="6003"/>
  </r>
  <r>
    <x v="41"/>
    <x v="1"/>
    <x v="1"/>
    <x v="7"/>
    <x v="3"/>
    <n v="53"/>
    <n v="75"/>
    <n v="3975"/>
  </r>
  <r>
    <x v="41"/>
    <x v="2"/>
    <x v="1"/>
    <x v="7"/>
    <x v="3"/>
    <n v="12"/>
    <n v="315"/>
    <n v="3780"/>
  </r>
  <r>
    <x v="41"/>
    <x v="3"/>
    <x v="0"/>
    <x v="6"/>
    <x v="3"/>
    <n v="6"/>
    <n v="1080"/>
    <n v="6480"/>
  </r>
  <r>
    <x v="41"/>
    <x v="4"/>
    <x v="2"/>
    <x v="7"/>
    <x v="3"/>
    <n v="4"/>
    <n v="1575"/>
    <n v="6300"/>
  </r>
  <r>
    <x v="41"/>
    <x v="5"/>
    <x v="2"/>
    <x v="7"/>
    <x v="3"/>
    <n v="9"/>
    <n v="790"/>
    <n v="7110"/>
  </r>
  <r>
    <x v="41"/>
    <x v="0"/>
    <x v="0"/>
    <x v="8"/>
    <x v="4"/>
    <n v="4"/>
    <n v="2001"/>
    <n v="8004"/>
  </r>
  <r>
    <x v="41"/>
    <x v="1"/>
    <x v="1"/>
    <x v="9"/>
    <x v="4"/>
    <n v="53"/>
    <n v="75"/>
    <n v="3975"/>
  </r>
  <r>
    <x v="41"/>
    <x v="2"/>
    <x v="1"/>
    <x v="9"/>
    <x v="4"/>
    <n v="9"/>
    <n v="315"/>
    <n v="2835"/>
  </r>
  <r>
    <x v="41"/>
    <x v="3"/>
    <x v="0"/>
    <x v="8"/>
    <x v="4"/>
    <n v="6"/>
    <n v="1080"/>
    <n v="6480"/>
  </r>
  <r>
    <x v="41"/>
    <x v="4"/>
    <x v="2"/>
    <x v="8"/>
    <x v="4"/>
    <n v="2"/>
    <n v="1575"/>
    <n v="3150"/>
  </r>
  <r>
    <x v="41"/>
    <x v="5"/>
    <x v="2"/>
    <x v="8"/>
    <x v="4"/>
    <n v="7"/>
    <n v="790"/>
    <n v="5530"/>
  </r>
  <r>
    <x v="42"/>
    <x v="0"/>
    <x v="0"/>
    <x v="1"/>
    <x v="0"/>
    <n v="4"/>
    <n v="2001"/>
    <n v="8004"/>
  </r>
  <r>
    <x v="42"/>
    <x v="1"/>
    <x v="1"/>
    <x v="1"/>
    <x v="0"/>
    <n v="53"/>
    <n v="75"/>
    <n v="3975"/>
  </r>
  <r>
    <x v="42"/>
    <x v="2"/>
    <x v="1"/>
    <x v="1"/>
    <x v="0"/>
    <n v="13"/>
    <n v="315"/>
    <n v="4095"/>
  </r>
  <r>
    <x v="42"/>
    <x v="3"/>
    <x v="0"/>
    <x v="1"/>
    <x v="0"/>
    <n v="3"/>
    <n v="1080"/>
    <n v="3240"/>
  </r>
  <r>
    <x v="42"/>
    <x v="4"/>
    <x v="2"/>
    <x v="0"/>
    <x v="0"/>
    <n v="4"/>
    <n v="1575"/>
    <n v="6300"/>
  </r>
  <r>
    <x v="42"/>
    <x v="5"/>
    <x v="2"/>
    <x v="0"/>
    <x v="0"/>
    <n v="10"/>
    <n v="790"/>
    <n v="7900"/>
  </r>
  <r>
    <x v="42"/>
    <x v="0"/>
    <x v="0"/>
    <x v="2"/>
    <x v="1"/>
    <n v="6"/>
    <n v="2001"/>
    <n v="12006"/>
  </r>
  <r>
    <x v="42"/>
    <x v="1"/>
    <x v="1"/>
    <x v="3"/>
    <x v="1"/>
    <n v="55"/>
    <n v="75"/>
    <n v="4125"/>
  </r>
  <r>
    <x v="42"/>
    <x v="2"/>
    <x v="1"/>
    <x v="3"/>
    <x v="1"/>
    <n v="15"/>
    <n v="315"/>
    <n v="4725"/>
  </r>
  <r>
    <x v="42"/>
    <x v="3"/>
    <x v="0"/>
    <x v="2"/>
    <x v="1"/>
    <n v="6"/>
    <n v="1080"/>
    <n v="6480"/>
  </r>
  <r>
    <x v="42"/>
    <x v="4"/>
    <x v="2"/>
    <x v="3"/>
    <x v="1"/>
    <n v="4"/>
    <n v="1575"/>
    <n v="6300"/>
  </r>
  <r>
    <x v="42"/>
    <x v="5"/>
    <x v="2"/>
    <x v="2"/>
    <x v="1"/>
    <n v="11"/>
    <n v="790"/>
    <n v="8690"/>
  </r>
  <r>
    <x v="42"/>
    <x v="0"/>
    <x v="0"/>
    <x v="4"/>
    <x v="2"/>
    <n v="3"/>
    <n v="2001"/>
    <n v="6003"/>
  </r>
  <r>
    <x v="42"/>
    <x v="1"/>
    <x v="1"/>
    <x v="4"/>
    <x v="2"/>
    <n v="35"/>
    <n v="75"/>
    <n v="2625"/>
  </r>
  <r>
    <x v="42"/>
    <x v="2"/>
    <x v="1"/>
    <x v="4"/>
    <x v="2"/>
    <n v="7"/>
    <n v="315"/>
    <n v="2205"/>
  </r>
  <r>
    <x v="42"/>
    <x v="3"/>
    <x v="0"/>
    <x v="4"/>
    <x v="2"/>
    <n v="3"/>
    <n v="1080"/>
    <n v="3240"/>
  </r>
  <r>
    <x v="42"/>
    <x v="4"/>
    <x v="2"/>
    <x v="5"/>
    <x v="2"/>
    <n v="5"/>
    <n v="1575"/>
    <n v="7875"/>
  </r>
  <r>
    <x v="42"/>
    <x v="5"/>
    <x v="2"/>
    <x v="5"/>
    <x v="2"/>
    <n v="10"/>
    <n v="790"/>
    <n v="7900"/>
  </r>
  <r>
    <x v="42"/>
    <x v="0"/>
    <x v="0"/>
    <x v="6"/>
    <x v="3"/>
    <n v="4"/>
    <n v="2001"/>
    <n v="8004"/>
  </r>
  <r>
    <x v="42"/>
    <x v="1"/>
    <x v="1"/>
    <x v="7"/>
    <x v="3"/>
    <n v="51"/>
    <n v="75"/>
    <n v="3825"/>
  </r>
  <r>
    <x v="42"/>
    <x v="2"/>
    <x v="1"/>
    <x v="7"/>
    <x v="3"/>
    <n v="7"/>
    <n v="315"/>
    <n v="2205"/>
  </r>
  <r>
    <x v="42"/>
    <x v="3"/>
    <x v="0"/>
    <x v="6"/>
    <x v="3"/>
    <n v="5"/>
    <n v="1080"/>
    <n v="5400"/>
  </r>
  <r>
    <x v="42"/>
    <x v="4"/>
    <x v="2"/>
    <x v="7"/>
    <x v="3"/>
    <n v="6"/>
    <n v="1575"/>
    <n v="9450"/>
  </r>
  <r>
    <x v="42"/>
    <x v="5"/>
    <x v="2"/>
    <x v="7"/>
    <x v="3"/>
    <n v="9"/>
    <n v="790"/>
    <n v="7110"/>
  </r>
  <r>
    <x v="42"/>
    <x v="0"/>
    <x v="0"/>
    <x v="8"/>
    <x v="4"/>
    <n v="4"/>
    <n v="2001"/>
    <n v="8004"/>
  </r>
  <r>
    <x v="42"/>
    <x v="1"/>
    <x v="1"/>
    <x v="9"/>
    <x v="4"/>
    <n v="47"/>
    <n v="75"/>
    <n v="3525"/>
  </r>
  <r>
    <x v="42"/>
    <x v="2"/>
    <x v="1"/>
    <x v="9"/>
    <x v="4"/>
    <n v="5"/>
    <n v="315"/>
    <n v="1575"/>
  </r>
  <r>
    <x v="42"/>
    <x v="3"/>
    <x v="0"/>
    <x v="8"/>
    <x v="4"/>
    <n v="2"/>
    <n v="1080"/>
    <n v="2160"/>
  </r>
  <r>
    <x v="42"/>
    <x v="4"/>
    <x v="2"/>
    <x v="8"/>
    <x v="4"/>
    <n v="3"/>
    <n v="1575"/>
    <n v="4725"/>
  </r>
  <r>
    <x v="42"/>
    <x v="5"/>
    <x v="2"/>
    <x v="8"/>
    <x v="4"/>
    <n v="7"/>
    <n v="790"/>
    <n v="5530"/>
  </r>
  <r>
    <x v="43"/>
    <x v="0"/>
    <x v="0"/>
    <x v="1"/>
    <x v="0"/>
    <n v="3"/>
    <n v="2001"/>
    <n v="6003"/>
  </r>
  <r>
    <x v="43"/>
    <x v="1"/>
    <x v="1"/>
    <x v="1"/>
    <x v="0"/>
    <n v="34"/>
    <n v="75"/>
    <n v="2550"/>
  </r>
  <r>
    <x v="43"/>
    <x v="2"/>
    <x v="1"/>
    <x v="1"/>
    <x v="0"/>
    <n v="8"/>
    <n v="315"/>
    <n v="2520"/>
  </r>
  <r>
    <x v="43"/>
    <x v="3"/>
    <x v="0"/>
    <x v="1"/>
    <x v="0"/>
    <n v="3"/>
    <n v="1080"/>
    <n v="3240"/>
  </r>
  <r>
    <x v="43"/>
    <x v="4"/>
    <x v="2"/>
    <x v="0"/>
    <x v="0"/>
    <n v="5"/>
    <n v="1575"/>
    <n v="7875"/>
  </r>
  <r>
    <x v="43"/>
    <x v="5"/>
    <x v="2"/>
    <x v="0"/>
    <x v="0"/>
    <n v="10"/>
    <n v="790"/>
    <n v="7900"/>
  </r>
  <r>
    <x v="43"/>
    <x v="0"/>
    <x v="0"/>
    <x v="2"/>
    <x v="1"/>
    <n v="4"/>
    <n v="2001"/>
    <n v="8004"/>
  </r>
  <r>
    <x v="43"/>
    <x v="1"/>
    <x v="1"/>
    <x v="3"/>
    <x v="1"/>
    <n v="54"/>
    <n v="75"/>
    <n v="4050"/>
  </r>
  <r>
    <x v="43"/>
    <x v="2"/>
    <x v="1"/>
    <x v="3"/>
    <x v="1"/>
    <n v="13"/>
    <n v="315"/>
    <n v="4095"/>
  </r>
  <r>
    <x v="43"/>
    <x v="3"/>
    <x v="0"/>
    <x v="2"/>
    <x v="1"/>
    <n v="4"/>
    <n v="1080"/>
    <n v="4320"/>
  </r>
  <r>
    <x v="43"/>
    <x v="4"/>
    <x v="2"/>
    <x v="2"/>
    <x v="1"/>
    <n v="6"/>
    <n v="1575"/>
    <n v="9450"/>
  </r>
  <r>
    <x v="43"/>
    <x v="5"/>
    <x v="2"/>
    <x v="2"/>
    <x v="1"/>
    <n v="5"/>
    <n v="790"/>
    <n v="3950"/>
  </r>
  <r>
    <x v="43"/>
    <x v="0"/>
    <x v="0"/>
    <x v="4"/>
    <x v="2"/>
    <n v="3"/>
    <n v="2001"/>
    <n v="6003"/>
  </r>
  <r>
    <x v="43"/>
    <x v="1"/>
    <x v="1"/>
    <x v="4"/>
    <x v="2"/>
    <n v="31"/>
    <n v="75"/>
    <n v="2325"/>
  </r>
  <r>
    <x v="43"/>
    <x v="2"/>
    <x v="1"/>
    <x v="4"/>
    <x v="2"/>
    <n v="12"/>
    <n v="315"/>
    <n v="3780"/>
  </r>
  <r>
    <x v="43"/>
    <x v="3"/>
    <x v="0"/>
    <x v="4"/>
    <x v="2"/>
    <n v="5"/>
    <n v="1080"/>
    <n v="5400"/>
  </r>
  <r>
    <x v="43"/>
    <x v="4"/>
    <x v="2"/>
    <x v="5"/>
    <x v="2"/>
    <n v="2"/>
    <n v="1575"/>
    <n v="3150"/>
  </r>
  <r>
    <x v="43"/>
    <x v="5"/>
    <x v="2"/>
    <x v="5"/>
    <x v="2"/>
    <n v="11"/>
    <n v="790"/>
    <n v="8690"/>
  </r>
  <r>
    <x v="43"/>
    <x v="0"/>
    <x v="0"/>
    <x v="6"/>
    <x v="3"/>
    <n v="5"/>
    <n v="2001"/>
    <n v="10005"/>
  </r>
  <r>
    <x v="43"/>
    <x v="1"/>
    <x v="1"/>
    <x v="7"/>
    <x v="3"/>
    <n v="60"/>
    <n v="75"/>
    <n v="4500"/>
  </r>
  <r>
    <x v="43"/>
    <x v="2"/>
    <x v="1"/>
    <x v="6"/>
    <x v="3"/>
    <n v="6"/>
    <n v="315"/>
    <n v="1890"/>
  </r>
  <r>
    <x v="43"/>
    <x v="3"/>
    <x v="0"/>
    <x v="6"/>
    <x v="3"/>
    <n v="4"/>
    <n v="1080"/>
    <n v="4320"/>
  </r>
  <r>
    <x v="43"/>
    <x v="4"/>
    <x v="2"/>
    <x v="7"/>
    <x v="3"/>
    <n v="6"/>
    <n v="1575"/>
    <n v="9450"/>
  </r>
  <r>
    <x v="43"/>
    <x v="5"/>
    <x v="2"/>
    <x v="7"/>
    <x v="3"/>
    <n v="10"/>
    <n v="790"/>
    <n v="7900"/>
  </r>
  <r>
    <x v="43"/>
    <x v="0"/>
    <x v="0"/>
    <x v="8"/>
    <x v="4"/>
    <n v="3"/>
    <n v="2001"/>
    <n v="6003"/>
  </r>
  <r>
    <x v="43"/>
    <x v="1"/>
    <x v="1"/>
    <x v="9"/>
    <x v="4"/>
    <n v="40"/>
    <n v="75"/>
    <n v="3000"/>
  </r>
  <r>
    <x v="43"/>
    <x v="2"/>
    <x v="1"/>
    <x v="9"/>
    <x v="4"/>
    <n v="7"/>
    <n v="315"/>
    <n v="2205"/>
  </r>
  <r>
    <x v="43"/>
    <x v="3"/>
    <x v="0"/>
    <x v="8"/>
    <x v="4"/>
    <n v="6"/>
    <n v="1080"/>
    <n v="6480"/>
  </r>
  <r>
    <x v="43"/>
    <x v="4"/>
    <x v="2"/>
    <x v="8"/>
    <x v="4"/>
    <n v="4"/>
    <n v="1575"/>
    <n v="6300"/>
  </r>
  <r>
    <x v="43"/>
    <x v="5"/>
    <x v="2"/>
    <x v="8"/>
    <x v="4"/>
    <n v="9"/>
    <n v="790"/>
    <n v="7110"/>
  </r>
  <r>
    <x v="44"/>
    <x v="0"/>
    <x v="0"/>
    <x v="1"/>
    <x v="0"/>
    <n v="3"/>
    <n v="2001"/>
    <n v="6003"/>
  </r>
  <r>
    <x v="44"/>
    <x v="1"/>
    <x v="1"/>
    <x v="1"/>
    <x v="0"/>
    <n v="55"/>
    <n v="75"/>
    <n v="4125"/>
  </r>
  <r>
    <x v="44"/>
    <x v="2"/>
    <x v="1"/>
    <x v="1"/>
    <x v="0"/>
    <n v="10"/>
    <n v="315"/>
    <n v="3150"/>
  </r>
  <r>
    <x v="44"/>
    <x v="3"/>
    <x v="0"/>
    <x v="1"/>
    <x v="0"/>
    <n v="5"/>
    <n v="1080"/>
    <n v="5400"/>
  </r>
  <r>
    <x v="44"/>
    <x v="4"/>
    <x v="2"/>
    <x v="0"/>
    <x v="0"/>
    <n v="6"/>
    <n v="1575"/>
    <n v="9450"/>
  </r>
  <r>
    <x v="44"/>
    <x v="5"/>
    <x v="2"/>
    <x v="0"/>
    <x v="0"/>
    <n v="11"/>
    <n v="790"/>
    <n v="8690"/>
  </r>
  <r>
    <x v="44"/>
    <x v="0"/>
    <x v="0"/>
    <x v="2"/>
    <x v="1"/>
    <n v="6"/>
    <n v="2001"/>
    <n v="12006"/>
  </r>
  <r>
    <x v="44"/>
    <x v="1"/>
    <x v="1"/>
    <x v="3"/>
    <x v="1"/>
    <n v="32"/>
    <n v="75"/>
    <n v="2400"/>
  </r>
  <r>
    <x v="44"/>
    <x v="2"/>
    <x v="1"/>
    <x v="3"/>
    <x v="1"/>
    <n v="8"/>
    <n v="315"/>
    <n v="2520"/>
  </r>
  <r>
    <x v="44"/>
    <x v="3"/>
    <x v="0"/>
    <x v="2"/>
    <x v="1"/>
    <n v="2"/>
    <n v="1080"/>
    <n v="2160"/>
  </r>
  <r>
    <x v="44"/>
    <x v="4"/>
    <x v="2"/>
    <x v="2"/>
    <x v="1"/>
    <n v="5"/>
    <n v="1575"/>
    <n v="7875"/>
  </r>
  <r>
    <x v="44"/>
    <x v="5"/>
    <x v="2"/>
    <x v="2"/>
    <x v="1"/>
    <n v="7"/>
    <n v="790"/>
    <n v="5530"/>
  </r>
  <r>
    <x v="44"/>
    <x v="0"/>
    <x v="0"/>
    <x v="4"/>
    <x v="2"/>
    <n v="3"/>
    <n v="2001"/>
    <n v="6003"/>
  </r>
  <r>
    <x v="44"/>
    <x v="1"/>
    <x v="1"/>
    <x v="4"/>
    <x v="2"/>
    <n v="26"/>
    <n v="75"/>
    <n v="1950"/>
  </r>
  <r>
    <x v="44"/>
    <x v="2"/>
    <x v="1"/>
    <x v="4"/>
    <x v="2"/>
    <n v="11"/>
    <n v="315"/>
    <n v="3465"/>
  </r>
  <r>
    <x v="44"/>
    <x v="3"/>
    <x v="0"/>
    <x v="4"/>
    <x v="2"/>
    <n v="3"/>
    <n v="1080"/>
    <n v="3240"/>
  </r>
  <r>
    <x v="44"/>
    <x v="4"/>
    <x v="2"/>
    <x v="5"/>
    <x v="2"/>
    <n v="4"/>
    <n v="1575"/>
    <n v="6300"/>
  </r>
  <r>
    <x v="44"/>
    <x v="5"/>
    <x v="2"/>
    <x v="5"/>
    <x v="2"/>
    <n v="6"/>
    <n v="790"/>
    <n v="4740"/>
  </r>
  <r>
    <x v="44"/>
    <x v="0"/>
    <x v="0"/>
    <x v="6"/>
    <x v="3"/>
    <n v="4"/>
    <n v="2001"/>
    <n v="8004"/>
  </r>
  <r>
    <x v="44"/>
    <x v="1"/>
    <x v="1"/>
    <x v="6"/>
    <x v="3"/>
    <n v="52"/>
    <n v="75"/>
    <n v="3900"/>
  </r>
  <r>
    <x v="44"/>
    <x v="2"/>
    <x v="1"/>
    <x v="6"/>
    <x v="3"/>
    <n v="6"/>
    <n v="315"/>
    <n v="1890"/>
  </r>
  <r>
    <x v="44"/>
    <x v="3"/>
    <x v="0"/>
    <x v="6"/>
    <x v="3"/>
    <n v="4"/>
    <n v="1080"/>
    <n v="4320"/>
  </r>
  <r>
    <x v="44"/>
    <x v="4"/>
    <x v="2"/>
    <x v="7"/>
    <x v="3"/>
    <n v="2"/>
    <n v="1575"/>
    <n v="3150"/>
  </r>
  <r>
    <x v="44"/>
    <x v="5"/>
    <x v="2"/>
    <x v="7"/>
    <x v="3"/>
    <n v="7"/>
    <n v="790"/>
    <n v="5530"/>
  </r>
  <r>
    <x v="44"/>
    <x v="0"/>
    <x v="0"/>
    <x v="8"/>
    <x v="4"/>
    <n v="6"/>
    <n v="2001"/>
    <n v="12006"/>
  </r>
  <r>
    <x v="44"/>
    <x v="1"/>
    <x v="1"/>
    <x v="9"/>
    <x v="4"/>
    <n v="40"/>
    <n v="75"/>
    <n v="3000"/>
  </r>
  <r>
    <x v="44"/>
    <x v="2"/>
    <x v="1"/>
    <x v="9"/>
    <x v="4"/>
    <n v="7"/>
    <n v="315"/>
    <n v="2205"/>
  </r>
  <r>
    <x v="44"/>
    <x v="3"/>
    <x v="0"/>
    <x v="8"/>
    <x v="4"/>
    <n v="5"/>
    <n v="1080"/>
    <n v="5400"/>
  </r>
  <r>
    <x v="44"/>
    <x v="4"/>
    <x v="2"/>
    <x v="8"/>
    <x v="4"/>
    <n v="5"/>
    <n v="1575"/>
    <n v="7875"/>
  </r>
  <r>
    <x v="44"/>
    <x v="5"/>
    <x v="2"/>
    <x v="8"/>
    <x v="4"/>
    <n v="5"/>
    <n v="790"/>
    <n v="3950"/>
  </r>
  <r>
    <x v="45"/>
    <x v="0"/>
    <x v="0"/>
    <x v="1"/>
    <x v="0"/>
    <n v="5"/>
    <n v="2001"/>
    <n v="10005"/>
  </r>
  <r>
    <x v="45"/>
    <x v="1"/>
    <x v="1"/>
    <x v="1"/>
    <x v="0"/>
    <n v="55"/>
    <n v="75"/>
    <n v="4125"/>
  </r>
  <r>
    <x v="45"/>
    <x v="2"/>
    <x v="1"/>
    <x v="1"/>
    <x v="0"/>
    <n v="6"/>
    <n v="315"/>
    <n v="1890"/>
  </r>
  <r>
    <x v="45"/>
    <x v="3"/>
    <x v="0"/>
    <x v="1"/>
    <x v="0"/>
    <n v="5"/>
    <n v="1080"/>
    <n v="5400"/>
  </r>
  <r>
    <x v="45"/>
    <x v="4"/>
    <x v="2"/>
    <x v="0"/>
    <x v="0"/>
    <n v="6"/>
    <n v="1575"/>
    <n v="9450"/>
  </r>
  <r>
    <x v="45"/>
    <x v="5"/>
    <x v="2"/>
    <x v="0"/>
    <x v="0"/>
    <n v="11"/>
    <n v="790"/>
    <n v="8690"/>
  </r>
  <r>
    <x v="45"/>
    <x v="0"/>
    <x v="0"/>
    <x v="2"/>
    <x v="1"/>
    <n v="6"/>
    <n v="2001"/>
    <n v="12006"/>
  </r>
  <r>
    <x v="45"/>
    <x v="1"/>
    <x v="1"/>
    <x v="3"/>
    <x v="1"/>
    <n v="55"/>
    <n v="75"/>
    <n v="4125"/>
  </r>
  <r>
    <x v="45"/>
    <x v="2"/>
    <x v="1"/>
    <x v="3"/>
    <x v="1"/>
    <n v="12"/>
    <n v="315"/>
    <n v="3780"/>
  </r>
  <r>
    <x v="45"/>
    <x v="3"/>
    <x v="0"/>
    <x v="2"/>
    <x v="1"/>
    <n v="6"/>
    <n v="1080"/>
    <n v="6480"/>
  </r>
  <r>
    <x v="45"/>
    <x v="4"/>
    <x v="2"/>
    <x v="2"/>
    <x v="1"/>
    <n v="2"/>
    <n v="1575"/>
    <n v="3150"/>
  </r>
  <r>
    <x v="45"/>
    <x v="5"/>
    <x v="2"/>
    <x v="2"/>
    <x v="1"/>
    <n v="9"/>
    <n v="790"/>
    <n v="7110"/>
  </r>
  <r>
    <x v="45"/>
    <x v="0"/>
    <x v="0"/>
    <x v="4"/>
    <x v="2"/>
    <n v="6"/>
    <n v="2001"/>
    <n v="12006"/>
  </r>
  <r>
    <x v="45"/>
    <x v="1"/>
    <x v="1"/>
    <x v="4"/>
    <x v="2"/>
    <n v="24"/>
    <n v="75"/>
    <n v="1800"/>
  </r>
  <r>
    <x v="45"/>
    <x v="2"/>
    <x v="1"/>
    <x v="4"/>
    <x v="2"/>
    <n v="14"/>
    <n v="315"/>
    <n v="4410"/>
  </r>
  <r>
    <x v="45"/>
    <x v="3"/>
    <x v="0"/>
    <x v="4"/>
    <x v="2"/>
    <n v="3"/>
    <n v="1080"/>
    <n v="3240"/>
  </r>
  <r>
    <x v="45"/>
    <x v="4"/>
    <x v="2"/>
    <x v="5"/>
    <x v="2"/>
    <n v="6"/>
    <n v="1575"/>
    <n v="9450"/>
  </r>
  <r>
    <x v="45"/>
    <x v="5"/>
    <x v="2"/>
    <x v="5"/>
    <x v="2"/>
    <n v="8"/>
    <n v="790"/>
    <n v="6320"/>
  </r>
  <r>
    <x v="45"/>
    <x v="0"/>
    <x v="0"/>
    <x v="6"/>
    <x v="3"/>
    <n v="5"/>
    <n v="2001"/>
    <n v="10005"/>
  </r>
  <r>
    <x v="45"/>
    <x v="1"/>
    <x v="1"/>
    <x v="6"/>
    <x v="3"/>
    <n v="36"/>
    <n v="75"/>
    <n v="2700"/>
  </r>
  <r>
    <x v="45"/>
    <x v="2"/>
    <x v="1"/>
    <x v="6"/>
    <x v="3"/>
    <n v="12"/>
    <n v="315"/>
    <n v="3780"/>
  </r>
  <r>
    <x v="45"/>
    <x v="3"/>
    <x v="0"/>
    <x v="6"/>
    <x v="3"/>
    <n v="6"/>
    <n v="1080"/>
    <n v="6480"/>
  </r>
  <r>
    <x v="45"/>
    <x v="4"/>
    <x v="2"/>
    <x v="7"/>
    <x v="3"/>
    <n v="3"/>
    <n v="1575"/>
    <n v="4725"/>
  </r>
  <r>
    <x v="45"/>
    <x v="5"/>
    <x v="2"/>
    <x v="7"/>
    <x v="3"/>
    <n v="6"/>
    <n v="790"/>
    <n v="4740"/>
  </r>
  <r>
    <x v="45"/>
    <x v="0"/>
    <x v="0"/>
    <x v="8"/>
    <x v="4"/>
    <n v="6"/>
    <n v="2001"/>
    <n v="12006"/>
  </r>
  <r>
    <x v="45"/>
    <x v="1"/>
    <x v="1"/>
    <x v="9"/>
    <x v="4"/>
    <n v="48"/>
    <n v="75"/>
    <n v="3600"/>
  </r>
  <r>
    <x v="45"/>
    <x v="2"/>
    <x v="1"/>
    <x v="9"/>
    <x v="4"/>
    <n v="5"/>
    <n v="315"/>
    <n v="1575"/>
  </r>
  <r>
    <x v="45"/>
    <x v="3"/>
    <x v="0"/>
    <x v="8"/>
    <x v="4"/>
    <n v="3"/>
    <n v="1080"/>
    <n v="3240"/>
  </r>
  <r>
    <x v="45"/>
    <x v="4"/>
    <x v="2"/>
    <x v="8"/>
    <x v="4"/>
    <n v="6"/>
    <n v="1575"/>
    <n v="9450"/>
  </r>
  <r>
    <x v="45"/>
    <x v="5"/>
    <x v="2"/>
    <x v="8"/>
    <x v="4"/>
    <n v="10"/>
    <n v="790"/>
    <n v="7900"/>
  </r>
  <r>
    <x v="46"/>
    <x v="0"/>
    <x v="0"/>
    <x v="1"/>
    <x v="0"/>
    <n v="3"/>
    <n v="2001"/>
    <n v="6003"/>
  </r>
  <r>
    <x v="46"/>
    <x v="1"/>
    <x v="1"/>
    <x v="1"/>
    <x v="0"/>
    <n v="46"/>
    <n v="75"/>
    <n v="3450"/>
  </r>
  <r>
    <x v="46"/>
    <x v="2"/>
    <x v="1"/>
    <x v="1"/>
    <x v="0"/>
    <n v="10"/>
    <n v="315"/>
    <n v="3150"/>
  </r>
  <r>
    <x v="46"/>
    <x v="3"/>
    <x v="0"/>
    <x v="1"/>
    <x v="0"/>
    <n v="3"/>
    <n v="1080"/>
    <n v="3240"/>
  </r>
  <r>
    <x v="46"/>
    <x v="4"/>
    <x v="2"/>
    <x v="0"/>
    <x v="0"/>
    <n v="4"/>
    <n v="1575"/>
    <n v="6300"/>
  </r>
  <r>
    <x v="46"/>
    <x v="5"/>
    <x v="2"/>
    <x v="0"/>
    <x v="0"/>
    <n v="9"/>
    <n v="790"/>
    <n v="7110"/>
  </r>
  <r>
    <x v="46"/>
    <x v="0"/>
    <x v="0"/>
    <x v="2"/>
    <x v="1"/>
    <n v="3"/>
    <n v="2001"/>
    <n v="6003"/>
  </r>
  <r>
    <x v="46"/>
    <x v="1"/>
    <x v="1"/>
    <x v="3"/>
    <x v="1"/>
    <n v="65"/>
    <n v="75"/>
    <n v="4875"/>
  </r>
  <r>
    <x v="46"/>
    <x v="2"/>
    <x v="1"/>
    <x v="3"/>
    <x v="1"/>
    <n v="12"/>
    <n v="315"/>
    <n v="3780"/>
  </r>
  <r>
    <x v="46"/>
    <x v="3"/>
    <x v="0"/>
    <x v="2"/>
    <x v="1"/>
    <n v="3"/>
    <n v="1080"/>
    <n v="3240"/>
  </r>
  <r>
    <x v="46"/>
    <x v="4"/>
    <x v="2"/>
    <x v="2"/>
    <x v="1"/>
    <n v="2"/>
    <n v="1575"/>
    <n v="3150"/>
  </r>
  <r>
    <x v="46"/>
    <x v="5"/>
    <x v="2"/>
    <x v="2"/>
    <x v="1"/>
    <n v="9"/>
    <n v="790"/>
    <n v="7110"/>
  </r>
  <r>
    <x v="46"/>
    <x v="0"/>
    <x v="0"/>
    <x v="4"/>
    <x v="2"/>
    <n v="4"/>
    <n v="2001"/>
    <n v="8004"/>
  </r>
  <r>
    <x v="46"/>
    <x v="1"/>
    <x v="1"/>
    <x v="4"/>
    <x v="2"/>
    <n v="45"/>
    <n v="75"/>
    <n v="3375"/>
  </r>
  <r>
    <x v="46"/>
    <x v="2"/>
    <x v="1"/>
    <x v="4"/>
    <x v="2"/>
    <n v="11"/>
    <n v="315"/>
    <n v="3465"/>
  </r>
  <r>
    <x v="46"/>
    <x v="3"/>
    <x v="0"/>
    <x v="4"/>
    <x v="2"/>
    <n v="6"/>
    <n v="1080"/>
    <n v="6480"/>
  </r>
  <r>
    <x v="46"/>
    <x v="4"/>
    <x v="2"/>
    <x v="5"/>
    <x v="2"/>
    <n v="6"/>
    <n v="1575"/>
    <n v="9450"/>
  </r>
  <r>
    <x v="46"/>
    <x v="5"/>
    <x v="2"/>
    <x v="5"/>
    <x v="2"/>
    <n v="5"/>
    <n v="790"/>
    <n v="3950"/>
  </r>
  <r>
    <x v="46"/>
    <x v="0"/>
    <x v="0"/>
    <x v="6"/>
    <x v="3"/>
    <n v="5"/>
    <n v="2001"/>
    <n v="10005"/>
  </r>
  <r>
    <x v="46"/>
    <x v="1"/>
    <x v="1"/>
    <x v="6"/>
    <x v="3"/>
    <n v="31"/>
    <n v="75"/>
    <n v="2325"/>
  </r>
  <r>
    <x v="46"/>
    <x v="2"/>
    <x v="1"/>
    <x v="6"/>
    <x v="3"/>
    <n v="8"/>
    <n v="315"/>
    <n v="2520"/>
  </r>
  <r>
    <x v="46"/>
    <x v="3"/>
    <x v="0"/>
    <x v="6"/>
    <x v="3"/>
    <n v="4"/>
    <n v="1080"/>
    <n v="4320"/>
  </r>
  <r>
    <x v="46"/>
    <x v="4"/>
    <x v="2"/>
    <x v="7"/>
    <x v="3"/>
    <n v="4"/>
    <n v="1575"/>
    <n v="6300"/>
  </r>
  <r>
    <x v="46"/>
    <x v="5"/>
    <x v="2"/>
    <x v="7"/>
    <x v="3"/>
    <n v="11"/>
    <n v="790"/>
    <n v="8690"/>
  </r>
  <r>
    <x v="46"/>
    <x v="0"/>
    <x v="0"/>
    <x v="8"/>
    <x v="4"/>
    <n v="4"/>
    <n v="2001"/>
    <n v="8004"/>
  </r>
  <r>
    <x v="46"/>
    <x v="1"/>
    <x v="1"/>
    <x v="9"/>
    <x v="4"/>
    <n v="48"/>
    <n v="75"/>
    <n v="3600"/>
  </r>
  <r>
    <x v="46"/>
    <x v="2"/>
    <x v="1"/>
    <x v="9"/>
    <x v="4"/>
    <n v="11"/>
    <n v="315"/>
    <n v="3465"/>
  </r>
  <r>
    <x v="46"/>
    <x v="3"/>
    <x v="0"/>
    <x v="8"/>
    <x v="4"/>
    <n v="2"/>
    <n v="1080"/>
    <n v="2160"/>
  </r>
  <r>
    <x v="46"/>
    <x v="4"/>
    <x v="2"/>
    <x v="8"/>
    <x v="4"/>
    <n v="4"/>
    <n v="1575"/>
    <n v="6300"/>
  </r>
  <r>
    <x v="46"/>
    <x v="5"/>
    <x v="2"/>
    <x v="8"/>
    <x v="4"/>
    <n v="10"/>
    <n v="790"/>
    <n v="7900"/>
  </r>
  <r>
    <x v="47"/>
    <x v="0"/>
    <x v="0"/>
    <x v="1"/>
    <x v="0"/>
    <n v="3"/>
    <n v="2001"/>
    <n v="6003"/>
  </r>
  <r>
    <x v="47"/>
    <x v="1"/>
    <x v="1"/>
    <x v="1"/>
    <x v="0"/>
    <n v="38"/>
    <n v="75"/>
    <n v="2850"/>
  </r>
  <r>
    <x v="47"/>
    <x v="2"/>
    <x v="1"/>
    <x v="1"/>
    <x v="0"/>
    <n v="13"/>
    <n v="315"/>
    <n v="4095"/>
  </r>
  <r>
    <x v="47"/>
    <x v="3"/>
    <x v="0"/>
    <x v="1"/>
    <x v="0"/>
    <n v="5"/>
    <n v="1080"/>
    <n v="5400"/>
  </r>
  <r>
    <x v="47"/>
    <x v="4"/>
    <x v="2"/>
    <x v="0"/>
    <x v="0"/>
    <n v="4"/>
    <n v="1575"/>
    <n v="6300"/>
  </r>
  <r>
    <x v="47"/>
    <x v="5"/>
    <x v="2"/>
    <x v="0"/>
    <x v="0"/>
    <n v="10"/>
    <n v="790"/>
    <n v="7900"/>
  </r>
  <r>
    <x v="47"/>
    <x v="0"/>
    <x v="0"/>
    <x v="2"/>
    <x v="1"/>
    <n v="6"/>
    <n v="2001"/>
    <n v="12006"/>
  </r>
  <r>
    <x v="47"/>
    <x v="1"/>
    <x v="1"/>
    <x v="3"/>
    <x v="1"/>
    <n v="66"/>
    <n v="75"/>
    <n v="4950"/>
  </r>
  <r>
    <x v="47"/>
    <x v="2"/>
    <x v="1"/>
    <x v="3"/>
    <x v="1"/>
    <n v="11"/>
    <n v="315"/>
    <n v="3465"/>
  </r>
  <r>
    <x v="47"/>
    <x v="3"/>
    <x v="0"/>
    <x v="2"/>
    <x v="1"/>
    <n v="5"/>
    <n v="1080"/>
    <n v="5400"/>
  </r>
  <r>
    <x v="47"/>
    <x v="4"/>
    <x v="2"/>
    <x v="2"/>
    <x v="1"/>
    <n v="4"/>
    <n v="1575"/>
    <n v="6300"/>
  </r>
  <r>
    <x v="47"/>
    <x v="5"/>
    <x v="2"/>
    <x v="2"/>
    <x v="1"/>
    <n v="5"/>
    <n v="790"/>
    <n v="3950"/>
  </r>
  <r>
    <x v="47"/>
    <x v="0"/>
    <x v="0"/>
    <x v="4"/>
    <x v="2"/>
    <n v="4"/>
    <n v="2001"/>
    <n v="8004"/>
  </r>
  <r>
    <x v="47"/>
    <x v="1"/>
    <x v="1"/>
    <x v="4"/>
    <x v="2"/>
    <n v="25"/>
    <n v="75"/>
    <n v="1875"/>
  </r>
  <r>
    <x v="47"/>
    <x v="2"/>
    <x v="1"/>
    <x v="4"/>
    <x v="2"/>
    <n v="11"/>
    <n v="315"/>
    <n v="3465"/>
  </r>
  <r>
    <x v="47"/>
    <x v="3"/>
    <x v="0"/>
    <x v="4"/>
    <x v="2"/>
    <n v="4"/>
    <n v="1080"/>
    <n v="4320"/>
  </r>
  <r>
    <x v="47"/>
    <x v="4"/>
    <x v="2"/>
    <x v="5"/>
    <x v="2"/>
    <n v="3"/>
    <n v="1575"/>
    <n v="4725"/>
  </r>
  <r>
    <x v="47"/>
    <x v="5"/>
    <x v="2"/>
    <x v="5"/>
    <x v="2"/>
    <n v="8"/>
    <n v="790"/>
    <n v="6320"/>
  </r>
  <r>
    <x v="47"/>
    <x v="0"/>
    <x v="0"/>
    <x v="6"/>
    <x v="3"/>
    <n v="6"/>
    <n v="2001"/>
    <n v="12006"/>
  </r>
  <r>
    <x v="47"/>
    <x v="1"/>
    <x v="1"/>
    <x v="6"/>
    <x v="3"/>
    <n v="53"/>
    <n v="75"/>
    <n v="3975"/>
  </r>
  <r>
    <x v="47"/>
    <x v="2"/>
    <x v="1"/>
    <x v="6"/>
    <x v="3"/>
    <n v="5"/>
    <n v="315"/>
    <n v="1575"/>
  </r>
  <r>
    <x v="47"/>
    <x v="3"/>
    <x v="0"/>
    <x v="6"/>
    <x v="3"/>
    <n v="6"/>
    <n v="1080"/>
    <n v="6480"/>
  </r>
  <r>
    <x v="47"/>
    <x v="4"/>
    <x v="2"/>
    <x v="7"/>
    <x v="3"/>
    <n v="4"/>
    <n v="1575"/>
    <n v="6300"/>
  </r>
  <r>
    <x v="47"/>
    <x v="5"/>
    <x v="2"/>
    <x v="7"/>
    <x v="3"/>
    <n v="10"/>
    <n v="790"/>
    <n v="7900"/>
  </r>
  <r>
    <x v="47"/>
    <x v="0"/>
    <x v="0"/>
    <x v="8"/>
    <x v="4"/>
    <n v="4"/>
    <n v="2001"/>
    <n v="8004"/>
  </r>
  <r>
    <x v="47"/>
    <x v="1"/>
    <x v="1"/>
    <x v="9"/>
    <x v="4"/>
    <n v="31"/>
    <n v="75"/>
    <n v="2325"/>
  </r>
  <r>
    <x v="47"/>
    <x v="2"/>
    <x v="1"/>
    <x v="9"/>
    <x v="4"/>
    <n v="5"/>
    <n v="315"/>
    <n v="1575"/>
  </r>
  <r>
    <x v="47"/>
    <x v="3"/>
    <x v="0"/>
    <x v="8"/>
    <x v="4"/>
    <n v="2"/>
    <n v="1080"/>
    <n v="2160"/>
  </r>
  <r>
    <x v="47"/>
    <x v="4"/>
    <x v="2"/>
    <x v="8"/>
    <x v="4"/>
    <n v="5"/>
    <n v="1575"/>
    <n v="7875"/>
  </r>
  <r>
    <x v="47"/>
    <x v="5"/>
    <x v="2"/>
    <x v="8"/>
    <x v="4"/>
    <n v="11"/>
    <n v="790"/>
    <n v="8690"/>
  </r>
  <r>
    <x v="48"/>
    <x v="0"/>
    <x v="0"/>
    <x v="1"/>
    <x v="0"/>
    <n v="6"/>
    <n v="2001"/>
    <n v="12006"/>
  </r>
  <r>
    <x v="48"/>
    <x v="1"/>
    <x v="1"/>
    <x v="1"/>
    <x v="0"/>
    <n v="57"/>
    <n v="75"/>
    <n v="4275"/>
  </r>
  <r>
    <x v="48"/>
    <x v="2"/>
    <x v="1"/>
    <x v="1"/>
    <x v="0"/>
    <n v="10"/>
    <n v="315"/>
    <n v="3150"/>
  </r>
  <r>
    <x v="48"/>
    <x v="3"/>
    <x v="0"/>
    <x v="1"/>
    <x v="0"/>
    <n v="5"/>
    <n v="1080"/>
    <n v="5400"/>
  </r>
  <r>
    <x v="48"/>
    <x v="4"/>
    <x v="2"/>
    <x v="0"/>
    <x v="0"/>
    <n v="5"/>
    <n v="1575"/>
    <n v="7875"/>
  </r>
  <r>
    <x v="48"/>
    <x v="5"/>
    <x v="2"/>
    <x v="0"/>
    <x v="0"/>
    <n v="8"/>
    <n v="790"/>
    <n v="6320"/>
  </r>
  <r>
    <x v="48"/>
    <x v="0"/>
    <x v="0"/>
    <x v="2"/>
    <x v="1"/>
    <n v="5"/>
    <n v="2001"/>
    <n v="10005"/>
  </r>
  <r>
    <x v="48"/>
    <x v="1"/>
    <x v="1"/>
    <x v="3"/>
    <x v="1"/>
    <n v="67"/>
    <n v="75"/>
    <n v="5025"/>
  </r>
  <r>
    <x v="48"/>
    <x v="2"/>
    <x v="1"/>
    <x v="3"/>
    <x v="1"/>
    <n v="23"/>
    <n v="315"/>
    <n v="7245"/>
  </r>
  <r>
    <x v="48"/>
    <x v="3"/>
    <x v="0"/>
    <x v="2"/>
    <x v="1"/>
    <n v="5"/>
    <n v="1080"/>
    <n v="5400"/>
  </r>
  <r>
    <x v="48"/>
    <x v="4"/>
    <x v="2"/>
    <x v="2"/>
    <x v="1"/>
    <n v="6"/>
    <n v="1575"/>
    <n v="9450"/>
  </r>
  <r>
    <x v="48"/>
    <x v="5"/>
    <x v="2"/>
    <x v="2"/>
    <x v="1"/>
    <n v="8"/>
    <n v="790"/>
    <n v="6320"/>
  </r>
  <r>
    <x v="48"/>
    <x v="0"/>
    <x v="0"/>
    <x v="4"/>
    <x v="2"/>
    <n v="6"/>
    <n v="2001"/>
    <n v="12006"/>
  </r>
  <r>
    <x v="48"/>
    <x v="1"/>
    <x v="1"/>
    <x v="4"/>
    <x v="2"/>
    <n v="41"/>
    <n v="75"/>
    <n v="3075"/>
  </r>
  <r>
    <x v="48"/>
    <x v="2"/>
    <x v="1"/>
    <x v="4"/>
    <x v="2"/>
    <n v="5"/>
    <n v="315"/>
    <n v="1575"/>
  </r>
  <r>
    <x v="48"/>
    <x v="3"/>
    <x v="0"/>
    <x v="4"/>
    <x v="2"/>
    <n v="6"/>
    <n v="1080"/>
    <n v="6480"/>
  </r>
  <r>
    <x v="48"/>
    <x v="4"/>
    <x v="2"/>
    <x v="5"/>
    <x v="2"/>
    <n v="4"/>
    <n v="1575"/>
    <n v="6300"/>
  </r>
  <r>
    <x v="48"/>
    <x v="5"/>
    <x v="2"/>
    <x v="5"/>
    <x v="2"/>
    <n v="5"/>
    <n v="790"/>
    <n v="3950"/>
  </r>
  <r>
    <x v="48"/>
    <x v="0"/>
    <x v="0"/>
    <x v="6"/>
    <x v="3"/>
    <n v="6"/>
    <n v="2001"/>
    <n v="12006"/>
  </r>
  <r>
    <x v="48"/>
    <x v="1"/>
    <x v="1"/>
    <x v="6"/>
    <x v="3"/>
    <n v="50"/>
    <n v="75"/>
    <n v="3750"/>
  </r>
  <r>
    <x v="48"/>
    <x v="2"/>
    <x v="1"/>
    <x v="6"/>
    <x v="3"/>
    <n v="5"/>
    <n v="315"/>
    <n v="1575"/>
  </r>
  <r>
    <x v="48"/>
    <x v="3"/>
    <x v="0"/>
    <x v="6"/>
    <x v="3"/>
    <n v="4"/>
    <n v="1080"/>
    <n v="4320"/>
  </r>
  <r>
    <x v="48"/>
    <x v="4"/>
    <x v="2"/>
    <x v="7"/>
    <x v="3"/>
    <n v="2"/>
    <n v="1575"/>
    <n v="3150"/>
  </r>
  <r>
    <x v="48"/>
    <x v="5"/>
    <x v="2"/>
    <x v="7"/>
    <x v="3"/>
    <n v="8"/>
    <n v="790"/>
    <n v="6320"/>
  </r>
  <r>
    <x v="48"/>
    <x v="0"/>
    <x v="0"/>
    <x v="8"/>
    <x v="4"/>
    <n v="4"/>
    <n v="2001"/>
    <n v="8004"/>
  </r>
  <r>
    <x v="48"/>
    <x v="1"/>
    <x v="1"/>
    <x v="9"/>
    <x v="4"/>
    <n v="55"/>
    <n v="75"/>
    <n v="4125"/>
  </r>
  <r>
    <x v="48"/>
    <x v="2"/>
    <x v="1"/>
    <x v="9"/>
    <x v="4"/>
    <n v="10"/>
    <n v="315"/>
    <n v="3150"/>
  </r>
  <r>
    <x v="48"/>
    <x v="3"/>
    <x v="0"/>
    <x v="8"/>
    <x v="4"/>
    <n v="3"/>
    <n v="1080"/>
    <n v="3240"/>
  </r>
  <r>
    <x v="48"/>
    <x v="4"/>
    <x v="2"/>
    <x v="8"/>
    <x v="4"/>
    <n v="5"/>
    <n v="1575"/>
    <n v="7875"/>
  </r>
  <r>
    <x v="48"/>
    <x v="5"/>
    <x v="2"/>
    <x v="8"/>
    <x v="4"/>
    <n v="9"/>
    <n v="790"/>
    <n v="7110"/>
  </r>
  <r>
    <x v="49"/>
    <x v="0"/>
    <x v="0"/>
    <x v="1"/>
    <x v="0"/>
    <n v="6"/>
    <n v="2001"/>
    <n v="12006"/>
  </r>
  <r>
    <x v="49"/>
    <x v="1"/>
    <x v="1"/>
    <x v="1"/>
    <x v="0"/>
    <n v="47"/>
    <n v="75"/>
    <n v="3525"/>
  </r>
  <r>
    <x v="49"/>
    <x v="2"/>
    <x v="1"/>
    <x v="1"/>
    <x v="0"/>
    <n v="14"/>
    <n v="315"/>
    <n v="4410"/>
  </r>
  <r>
    <x v="49"/>
    <x v="3"/>
    <x v="0"/>
    <x v="1"/>
    <x v="0"/>
    <n v="5"/>
    <n v="1080"/>
    <n v="5400"/>
  </r>
  <r>
    <x v="49"/>
    <x v="4"/>
    <x v="2"/>
    <x v="0"/>
    <x v="0"/>
    <n v="3"/>
    <n v="1575"/>
    <n v="4725"/>
  </r>
  <r>
    <x v="49"/>
    <x v="5"/>
    <x v="2"/>
    <x v="0"/>
    <x v="0"/>
    <n v="10"/>
    <n v="790"/>
    <n v="7900"/>
  </r>
  <r>
    <x v="49"/>
    <x v="0"/>
    <x v="0"/>
    <x v="2"/>
    <x v="1"/>
    <n v="6"/>
    <n v="2001"/>
    <n v="12006"/>
  </r>
  <r>
    <x v="49"/>
    <x v="1"/>
    <x v="1"/>
    <x v="3"/>
    <x v="1"/>
    <n v="66"/>
    <n v="75"/>
    <n v="4950"/>
  </r>
  <r>
    <x v="49"/>
    <x v="2"/>
    <x v="1"/>
    <x v="3"/>
    <x v="1"/>
    <n v="2"/>
    <n v="315"/>
    <n v="630"/>
  </r>
  <r>
    <x v="49"/>
    <x v="3"/>
    <x v="0"/>
    <x v="2"/>
    <x v="1"/>
    <n v="4"/>
    <n v="1080"/>
    <n v="4320"/>
  </r>
  <r>
    <x v="49"/>
    <x v="4"/>
    <x v="2"/>
    <x v="3"/>
    <x v="1"/>
    <n v="4"/>
    <n v="1575"/>
    <n v="6300"/>
  </r>
  <r>
    <x v="49"/>
    <x v="5"/>
    <x v="2"/>
    <x v="3"/>
    <x v="1"/>
    <n v="5"/>
    <n v="790"/>
    <n v="3950"/>
  </r>
  <r>
    <x v="49"/>
    <x v="0"/>
    <x v="0"/>
    <x v="4"/>
    <x v="2"/>
    <n v="3"/>
    <n v="2001"/>
    <n v="6003"/>
  </r>
  <r>
    <x v="49"/>
    <x v="1"/>
    <x v="1"/>
    <x v="4"/>
    <x v="2"/>
    <n v="36"/>
    <n v="75"/>
    <n v="2700"/>
  </r>
  <r>
    <x v="49"/>
    <x v="2"/>
    <x v="1"/>
    <x v="4"/>
    <x v="2"/>
    <n v="11"/>
    <n v="315"/>
    <n v="3465"/>
  </r>
  <r>
    <x v="49"/>
    <x v="3"/>
    <x v="0"/>
    <x v="4"/>
    <x v="2"/>
    <n v="6"/>
    <n v="1080"/>
    <n v="6480"/>
  </r>
  <r>
    <x v="49"/>
    <x v="4"/>
    <x v="2"/>
    <x v="5"/>
    <x v="2"/>
    <n v="5"/>
    <n v="1575"/>
    <n v="7875"/>
  </r>
  <r>
    <x v="49"/>
    <x v="5"/>
    <x v="2"/>
    <x v="5"/>
    <x v="2"/>
    <n v="11"/>
    <n v="790"/>
    <n v="8690"/>
  </r>
  <r>
    <x v="49"/>
    <x v="0"/>
    <x v="0"/>
    <x v="6"/>
    <x v="3"/>
    <n v="3"/>
    <n v="2001"/>
    <n v="6003"/>
  </r>
  <r>
    <x v="49"/>
    <x v="1"/>
    <x v="1"/>
    <x v="6"/>
    <x v="3"/>
    <n v="58"/>
    <n v="75"/>
    <n v="4350"/>
  </r>
  <r>
    <x v="49"/>
    <x v="2"/>
    <x v="1"/>
    <x v="6"/>
    <x v="3"/>
    <n v="9"/>
    <n v="315"/>
    <n v="2835"/>
  </r>
  <r>
    <x v="49"/>
    <x v="3"/>
    <x v="0"/>
    <x v="6"/>
    <x v="3"/>
    <n v="6"/>
    <n v="1080"/>
    <n v="6480"/>
  </r>
  <r>
    <x v="49"/>
    <x v="4"/>
    <x v="2"/>
    <x v="7"/>
    <x v="3"/>
    <n v="6"/>
    <n v="1575"/>
    <n v="9450"/>
  </r>
  <r>
    <x v="49"/>
    <x v="5"/>
    <x v="2"/>
    <x v="7"/>
    <x v="3"/>
    <n v="10"/>
    <n v="790"/>
    <n v="7900"/>
  </r>
  <r>
    <x v="49"/>
    <x v="0"/>
    <x v="0"/>
    <x v="8"/>
    <x v="4"/>
    <n v="6"/>
    <n v="2001"/>
    <n v="12006"/>
  </r>
  <r>
    <x v="49"/>
    <x v="1"/>
    <x v="1"/>
    <x v="9"/>
    <x v="4"/>
    <n v="36"/>
    <n v="75"/>
    <n v="2700"/>
  </r>
  <r>
    <x v="49"/>
    <x v="2"/>
    <x v="1"/>
    <x v="9"/>
    <x v="4"/>
    <n v="9"/>
    <n v="315"/>
    <n v="2835"/>
  </r>
  <r>
    <x v="49"/>
    <x v="3"/>
    <x v="0"/>
    <x v="8"/>
    <x v="4"/>
    <n v="5"/>
    <n v="1080"/>
    <n v="5400"/>
  </r>
  <r>
    <x v="49"/>
    <x v="4"/>
    <x v="2"/>
    <x v="9"/>
    <x v="4"/>
    <n v="6"/>
    <n v="1575"/>
    <n v="9450"/>
  </r>
  <r>
    <x v="49"/>
    <x v="5"/>
    <x v="2"/>
    <x v="9"/>
    <x v="4"/>
    <n v="6"/>
    <n v="790"/>
    <n v="4740"/>
  </r>
  <r>
    <x v="50"/>
    <x v="0"/>
    <x v="0"/>
    <x v="1"/>
    <x v="0"/>
    <n v="3"/>
    <n v="2001"/>
    <n v="6003"/>
  </r>
  <r>
    <x v="50"/>
    <x v="1"/>
    <x v="1"/>
    <x v="1"/>
    <x v="0"/>
    <n v="60"/>
    <n v="75"/>
    <n v="4500"/>
  </r>
  <r>
    <x v="50"/>
    <x v="2"/>
    <x v="1"/>
    <x v="1"/>
    <x v="0"/>
    <n v="14"/>
    <n v="315"/>
    <n v="4410"/>
  </r>
  <r>
    <x v="50"/>
    <x v="3"/>
    <x v="0"/>
    <x v="1"/>
    <x v="0"/>
    <n v="6"/>
    <n v="1080"/>
    <n v="6480"/>
  </r>
  <r>
    <x v="50"/>
    <x v="4"/>
    <x v="2"/>
    <x v="0"/>
    <x v="0"/>
    <n v="2"/>
    <n v="1575"/>
    <n v="3150"/>
  </r>
  <r>
    <x v="50"/>
    <x v="5"/>
    <x v="2"/>
    <x v="0"/>
    <x v="0"/>
    <n v="9"/>
    <n v="790"/>
    <n v="7110"/>
  </r>
  <r>
    <x v="50"/>
    <x v="0"/>
    <x v="0"/>
    <x v="2"/>
    <x v="1"/>
    <n v="3"/>
    <n v="2001"/>
    <n v="6003"/>
  </r>
  <r>
    <x v="50"/>
    <x v="1"/>
    <x v="1"/>
    <x v="3"/>
    <x v="1"/>
    <n v="66"/>
    <n v="75"/>
    <n v="4950"/>
  </r>
  <r>
    <x v="50"/>
    <x v="2"/>
    <x v="1"/>
    <x v="3"/>
    <x v="1"/>
    <n v="15"/>
    <n v="315"/>
    <n v="4725"/>
  </r>
  <r>
    <x v="50"/>
    <x v="3"/>
    <x v="0"/>
    <x v="2"/>
    <x v="1"/>
    <n v="6"/>
    <n v="1080"/>
    <n v="6480"/>
  </r>
  <r>
    <x v="50"/>
    <x v="4"/>
    <x v="2"/>
    <x v="3"/>
    <x v="1"/>
    <n v="4"/>
    <n v="1575"/>
    <n v="6300"/>
  </r>
  <r>
    <x v="50"/>
    <x v="5"/>
    <x v="2"/>
    <x v="3"/>
    <x v="1"/>
    <n v="6"/>
    <n v="790"/>
    <n v="4740"/>
  </r>
  <r>
    <x v="50"/>
    <x v="0"/>
    <x v="0"/>
    <x v="4"/>
    <x v="2"/>
    <n v="4"/>
    <n v="2001"/>
    <n v="8004"/>
  </r>
  <r>
    <x v="50"/>
    <x v="1"/>
    <x v="1"/>
    <x v="5"/>
    <x v="2"/>
    <n v="31"/>
    <n v="75"/>
    <n v="2325"/>
  </r>
  <r>
    <x v="50"/>
    <x v="2"/>
    <x v="1"/>
    <x v="5"/>
    <x v="2"/>
    <n v="5"/>
    <n v="315"/>
    <n v="1575"/>
  </r>
  <r>
    <x v="50"/>
    <x v="3"/>
    <x v="0"/>
    <x v="4"/>
    <x v="2"/>
    <n v="5"/>
    <n v="1080"/>
    <n v="5400"/>
  </r>
  <r>
    <x v="50"/>
    <x v="4"/>
    <x v="2"/>
    <x v="5"/>
    <x v="2"/>
    <n v="4"/>
    <n v="1575"/>
    <n v="6300"/>
  </r>
  <r>
    <x v="50"/>
    <x v="5"/>
    <x v="2"/>
    <x v="5"/>
    <x v="2"/>
    <n v="5"/>
    <n v="790"/>
    <n v="3950"/>
  </r>
  <r>
    <x v="50"/>
    <x v="0"/>
    <x v="0"/>
    <x v="6"/>
    <x v="3"/>
    <n v="3"/>
    <n v="2001"/>
    <n v="6003"/>
  </r>
  <r>
    <x v="50"/>
    <x v="1"/>
    <x v="1"/>
    <x v="6"/>
    <x v="3"/>
    <n v="52"/>
    <n v="75"/>
    <n v="3900"/>
  </r>
  <r>
    <x v="50"/>
    <x v="2"/>
    <x v="1"/>
    <x v="6"/>
    <x v="3"/>
    <n v="8"/>
    <n v="315"/>
    <n v="2520"/>
  </r>
  <r>
    <x v="50"/>
    <x v="3"/>
    <x v="0"/>
    <x v="6"/>
    <x v="3"/>
    <n v="2"/>
    <n v="1080"/>
    <n v="2160"/>
  </r>
  <r>
    <x v="50"/>
    <x v="4"/>
    <x v="2"/>
    <x v="7"/>
    <x v="3"/>
    <n v="3"/>
    <n v="1575"/>
    <n v="4725"/>
  </r>
  <r>
    <x v="50"/>
    <x v="5"/>
    <x v="2"/>
    <x v="7"/>
    <x v="3"/>
    <n v="5"/>
    <n v="790"/>
    <n v="3950"/>
  </r>
  <r>
    <x v="50"/>
    <x v="0"/>
    <x v="0"/>
    <x v="8"/>
    <x v="4"/>
    <n v="5"/>
    <n v="2001"/>
    <n v="10005"/>
  </r>
  <r>
    <x v="50"/>
    <x v="1"/>
    <x v="1"/>
    <x v="9"/>
    <x v="4"/>
    <n v="34"/>
    <n v="75"/>
    <n v="2550"/>
  </r>
  <r>
    <x v="50"/>
    <x v="2"/>
    <x v="1"/>
    <x v="9"/>
    <x v="4"/>
    <n v="10"/>
    <n v="315"/>
    <n v="3150"/>
  </r>
  <r>
    <x v="50"/>
    <x v="3"/>
    <x v="0"/>
    <x v="8"/>
    <x v="4"/>
    <n v="6"/>
    <n v="1080"/>
    <n v="6480"/>
  </r>
  <r>
    <x v="50"/>
    <x v="4"/>
    <x v="2"/>
    <x v="9"/>
    <x v="4"/>
    <n v="6"/>
    <n v="1575"/>
    <n v="9450"/>
  </r>
  <r>
    <x v="50"/>
    <x v="5"/>
    <x v="2"/>
    <x v="9"/>
    <x v="4"/>
    <n v="5"/>
    <n v="790"/>
    <n v="3950"/>
  </r>
  <r>
    <x v="51"/>
    <x v="0"/>
    <x v="0"/>
    <x v="1"/>
    <x v="0"/>
    <n v="6"/>
    <n v="2001"/>
    <n v="12006"/>
  </r>
  <r>
    <x v="51"/>
    <x v="1"/>
    <x v="1"/>
    <x v="1"/>
    <x v="0"/>
    <n v="45"/>
    <n v="75"/>
    <n v="3375"/>
  </r>
  <r>
    <x v="51"/>
    <x v="2"/>
    <x v="1"/>
    <x v="1"/>
    <x v="0"/>
    <n v="11"/>
    <n v="315"/>
    <n v="3465"/>
  </r>
  <r>
    <x v="51"/>
    <x v="3"/>
    <x v="0"/>
    <x v="1"/>
    <x v="0"/>
    <n v="3"/>
    <n v="1080"/>
    <n v="3240"/>
  </r>
  <r>
    <x v="51"/>
    <x v="4"/>
    <x v="2"/>
    <x v="0"/>
    <x v="0"/>
    <n v="3"/>
    <n v="1575"/>
    <n v="4725"/>
  </r>
  <r>
    <x v="51"/>
    <x v="5"/>
    <x v="2"/>
    <x v="0"/>
    <x v="0"/>
    <n v="5"/>
    <n v="790"/>
    <n v="3950"/>
  </r>
  <r>
    <x v="51"/>
    <x v="0"/>
    <x v="0"/>
    <x v="2"/>
    <x v="1"/>
    <n v="3"/>
    <n v="2001"/>
    <n v="6003"/>
  </r>
  <r>
    <x v="51"/>
    <x v="1"/>
    <x v="1"/>
    <x v="3"/>
    <x v="1"/>
    <n v="44"/>
    <n v="75"/>
    <n v="3300"/>
  </r>
  <r>
    <x v="51"/>
    <x v="2"/>
    <x v="1"/>
    <x v="3"/>
    <x v="1"/>
    <n v="15"/>
    <n v="315"/>
    <n v="4725"/>
  </r>
  <r>
    <x v="51"/>
    <x v="3"/>
    <x v="0"/>
    <x v="2"/>
    <x v="1"/>
    <n v="5"/>
    <n v="1080"/>
    <n v="5400"/>
  </r>
  <r>
    <x v="51"/>
    <x v="4"/>
    <x v="2"/>
    <x v="3"/>
    <x v="1"/>
    <n v="4"/>
    <n v="1575"/>
    <n v="6300"/>
  </r>
  <r>
    <x v="51"/>
    <x v="5"/>
    <x v="2"/>
    <x v="3"/>
    <x v="1"/>
    <n v="9"/>
    <n v="790"/>
    <n v="7110"/>
  </r>
  <r>
    <x v="51"/>
    <x v="0"/>
    <x v="0"/>
    <x v="4"/>
    <x v="2"/>
    <n v="6"/>
    <n v="2001"/>
    <n v="12006"/>
  </r>
  <r>
    <x v="51"/>
    <x v="1"/>
    <x v="1"/>
    <x v="5"/>
    <x v="2"/>
    <n v="23"/>
    <n v="75"/>
    <n v="1725"/>
  </r>
  <r>
    <x v="51"/>
    <x v="2"/>
    <x v="1"/>
    <x v="5"/>
    <x v="2"/>
    <n v="8"/>
    <n v="315"/>
    <n v="2520"/>
  </r>
  <r>
    <x v="51"/>
    <x v="3"/>
    <x v="0"/>
    <x v="4"/>
    <x v="2"/>
    <n v="3"/>
    <n v="1080"/>
    <n v="3240"/>
  </r>
  <r>
    <x v="51"/>
    <x v="4"/>
    <x v="2"/>
    <x v="5"/>
    <x v="2"/>
    <n v="3"/>
    <n v="1575"/>
    <n v="4725"/>
  </r>
  <r>
    <x v="51"/>
    <x v="5"/>
    <x v="2"/>
    <x v="5"/>
    <x v="2"/>
    <n v="9"/>
    <n v="790"/>
    <n v="7110"/>
  </r>
  <r>
    <x v="51"/>
    <x v="0"/>
    <x v="0"/>
    <x v="6"/>
    <x v="3"/>
    <n v="5"/>
    <n v="2001"/>
    <n v="10005"/>
  </r>
  <r>
    <x v="51"/>
    <x v="1"/>
    <x v="1"/>
    <x v="6"/>
    <x v="3"/>
    <n v="51"/>
    <n v="75"/>
    <n v="3825"/>
  </r>
  <r>
    <x v="51"/>
    <x v="2"/>
    <x v="1"/>
    <x v="6"/>
    <x v="3"/>
    <n v="7"/>
    <n v="315"/>
    <n v="2205"/>
  </r>
  <r>
    <x v="51"/>
    <x v="3"/>
    <x v="0"/>
    <x v="6"/>
    <x v="3"/>
    <n v="5"/>
    <n v="1080"/>
    <n v="5400"/>
  </r>
  <r>
    <x v="51"/>
    <x v="4"/>
    <x v="2"/>
    <x v="7"/>
    <x v="3"/>
    <n v="6"/>
    <n v="1575"/>
    <n v="9450"/>
  </r>
  <r>
    <x v="51"/>
    <x v="5"/>
    <x v="2"/>
    <x v="7"/>
    <x v="3"/>
    <n v="10"/>
    <n v="790"/>
    <n v="7900"/>
  </r>
  <r>
    <x v="51"/>
    <x v="0"/>
    <x v="0"/>
    <x v="8"/>
    <x v="4"/>
    <n v="6"/>
    <n v="2001"/>
    <n v="12006"/>
  </r>
  <r>
    <x v="51"/>
    <x v="1"/>
    <x v="1"/>
    <x v="9"/>
    <x v="4"/>
    <n v="59"/>
    <n v="75"/>
    <n v="4425"/>
  </r>
  <r>
    <x v="51"/>
    <x v="2"/>
    <x v="1"/>
    <x v="9"/>
    <x v="4"/>
    <n v="11"/>
    <n v="315"/>
    <n v="3465"/>
  </r>
  <r>
    <x v="51"/>
    <x v="3"/>
    <x v="0"/>
    <x v="8"/>
    <x v="4"/>
    <n v="2"/>
    <n v="1080"/>
    <n v="2160"/>
  </r>
  <r>
    <x v="51"/>
    <x v="4"/>
    <x v="2"/>
    <x v="9"/>
    <x v="4"/>
    <n v="4"/>
    <n v="1575"/>
    <n v="6300"/>
  </r>
  <r>
    <x v="51"/>
    <x v="5"/>
    <x v="2"/>
    <x v="9"/>
    <x v="4"/>
    <n v="10"/>
    <n v="790"/>
    <n v="79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32F85E7-BF9D-4D71-8DE3-2755AA9269D1}" name="Cit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9" firstHeaderRow="1" firstDataRow="1" firstDataCol="1"/>
  <pivotFields count="10">
    <pivotField numFmtId="14" showAll="0">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showAll="0"/>
    <pivotField showAll="0">
      <items count="11">
        <item x="0"/>
        <item x="8"/>
        <item x="3"/>
        <item x="4"/>
        <item x="1"/>
        <item x="2"/>
        <item x="5"/>
        <item x="9"/>
        <item x="6"/>
        <item x="7"/>
        <item t="default"/>
      </items>
    </pivotField>
    <pivotField axis="axisRow" showAll="0">
      <items count="6">
        <item x="0"/>
        <item x="2"/>
        <item x="3"/>
        <item x="4"/>
        <item x="1"/>
        <item t="default"/>
      </items>
    </pivotField>
    <pivotField numFmtId="3" showAll="0"/>
    <pivotField numFmtId="3" showAll="0"/>
    <pivotField dataField="1" numFmtId="3"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6">
    <i>
      <x/>
    </i>
    <i>
      <x v="1"/>
    </i>
    <i>
      <x v="2"/>
    </i>
    <i>
      <x v="3"/>
    </i>
    <i>
      <x v="4"/>
    </i>
    <i t="grand">
      <x/>
    </i>
  </rowItems>
  <colItems count="1">
    <i/>
  </colItems>
  <dataFields count="1">
    <dataField name="Sum of Amount" fld="7" baseField="0" baseItem="0" numFmtId="3"/>
  </dataFields>
  <formats count="18">
    <format dxfId="24">
      <pivotArea type="all" dataOnly="0" outline="0" fieldPosition="0"/>
    </format>
    <format dxfId="23">
      <pivotArea outline="0" collapsedLevelsAreSubtotals="1" fieldPosition="0"/>
    </format>
    <format dxfId="22">
      <pivotArea field="4" type="button" dataOnly="0" labelOnly="1" outline="0" axis="axisRow" fieldPosition="0"/>
    </format>
    <format dxfId="21">
      <pivotArea dataOnly="0" labelOnly="1" fieldPosition="0">
        <references count="1">
          <reference field="4" count="0"/>
        </references>
      </pivotArea>
    </format>
    <format dxfId="20">
      <pivotArea dataOnly="0" labelOnly="1" grandRow="1" outline="0" fieldPosition="0"/>
    </format>
    <format dxfId="19">
      <pivotArea dataOnly="0" labelOnly="1" outline="0" axis="axisValues" fieldPosition="0"/>
    </format>
    <format dxfId="18">
      <pivotArea type="all" dataOnly="0" outline="0" fieldPosition="0"/>
    </format>
    <format dxfId="17">
      <pivotArea outline="0" collapsedLevelsAreSubtotals="1" fieldPosition="0"/>
    </format>
    <format dxfId="16">
      <pivotArea field="4" type="button" dataOnly="0" labelOnly="1" outline="0" axis="axisRow" fieldPosition="0"/>
    </format>
    <format dxfId="15">
      <pivotArea dataOnly="0" labelOnly="1" fieldPosition="0">
        <references count="1">
          <reference field="4" count="0"/>
        </references>
      </pivotArea>
    </format>
    <format dxfId="14">
      <pivotArea dataOnly="0" labelOnly="1" grandRow="1" outline="0" fieldPosition="0"/>
    </format>
    <format dxfId="13">
      <pivotArea dataOnly="0" labelOnly="1" outline="0" axis="axisValues" fieldPosition="0"/>
    </format>
    <format dxfId="12">
      <pivotArea type="all" dataOnly="0" outline="0" fieldPosition="0"/>
    </format>
    <format dxfId="11">
      <pivotArea outline="0" collapsedLevelsAreSubtotals="1" fieldPosition="0"/>
    </format>
    <format dxfId="10">
      <pivotArea field="4" type="button" dataOnly="0" labelOnly="1" outline="0" axis="axisRow" fieldPosition="0"/>
    </format>
    <format dxfId="9">
      <pivotArea dataOnly="0" labelOnly="1" fieldPosition="0">
        <references count="1">
          <reference field="4" count="0"/>
        </references>
      </pivotArea>
    </format>
    <format dxfId="8">
      <pivotArea dataOnly="0" labelOnly="1" grandRow="1" outline="0" fieldPosition="0"/>
    </format>
    <format dxfId="7">
      <pivotArea dataOnly="0" labelOnly="1" outline="0" axis="axisValues" fieldPosition="0"/>
    </format>
  </format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D2E2304-12C6-40F9-88BB-FB3ABC8CF5DE}" name="Month"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61:B74" firstHeaderRow="1" firstDataRow="1" firstDataCol="1"/>
  <pivotFields count="10">
    <pivotField numFmtId="14" showAll="0">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showAll="0"/>
    <pivotField showAll="0">
      <items count="11">
        <item x="0"/>
        <item x="8"/>
        <item x="3"/>
        <item x="4"/>
        <item x="1"/>
        <item x="2"/>
        <item x="5"/>
        <item x="9"/>
        <item x="6"/>
        <item x="7"/>
        <item t="default"/>
      </items>
    </pivotField>
    <pivotField showAll="0">
      <items count="6">
        <item x="0"/>
        <item x="2"/>
        <item x="3"/>
        <item x="4"/>
        <item x="1"/>
        <item t="default"/>
      </items>
    </pivotField>
    <pivotField numFmtId="3" showAll="0"/>
    <pivotField numFmtId="3" showAll="0"/>
    <pivotField dataField="1" numFmtId="3"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9"/>
  </rowFields>
  <rowItems count="13">
    <i>
      <x v="1"/>
    </i>
    <i>
      <x v="2"/>
    </i>
    <i>
      <x v="3"/>
    </i>
    <i>
      <x v="4"/>
    </i>
    <i>
      <x v="5"/>
    </i>
    <i>
      <x v="6"/>
    </i>
    <i>
      <x v="7"/>
    </i>
    <i>
      <x v="8"/>
    </i>
    <i>
      <x v="9"/>
    </i>
    <i>
      <x v="10"/>
    </i>
    <i>
      <x v="11"/>
    </i>
    <i>
      <x v="12"/>
    </i>
    <i t="grand">
      <x/>
    </i>
  </rowItems>
  <colItems count="1">
    <i/>
  </colItems>
  <dataFields count="1">
    <dataField name="Sum of Amount" fld="7" baseField="0" baseItem="0" numFmtId="3"/>
  </dataFields>
  <formats count="18">
    <format dxfId="42">
      <pivotArea type="all" dataOnly="0" outline="0" fieldPosition="0"/>
    </format>
    <format dxfId="41">
      <pivotArea outline="0" collapsedLevelsAreSubtotals="1" fieldPosition="0"/>
    </format>
    <format dxfId="40">
      <pivotArea field="9" type="button" dataOnly="0" labelOnly="1" outline="0" axis="axisRow" fieldPosition="0"/>
    </format>
    <format dxfId="39">
      <pivotArea dataOnly="0" labelOnly="1" fieldPosition="0">
        <references count="1">
          <reference field="9" count="12">
            <x v="1"/>
            <x v="2"/>
            <x v="3"/>
            <x v="4"/>
            <x v="5"/>
            <x v="6"/>
            <x v="7"/>
            <x v="8"/>
            <x v="9"/>
            <x v="10"/>
            <x v="11"/>
            <x v="12"/>
          </reference>
        </references>
      </pivotArea>
    </format>
    <format dxfId="38">
      <pivotArea dataOnly="0" labelOnly="1" grandRow="1" outline="0" fieldPosition="0"/>
    </format>
    <format dxfId="37">
      <pivotArea dataOnly="0" labelOnly="1" outline="0" axis="axisValues" fieldPosition="0"/>
    </format>
    <format dxfId="36">
      <pivotArea type="all" dataOnly="0" outline="0" fieldPosition="0"/>
    </format>
    <format dxfId="35">
      <pivotArea outline="0" collapsedLevelsAreSubtotals="1" fieldPosition="0"/>
    </format>
    <format dxfId="34">
      <pivotArea field="9" type="button" dataOnly="0" labelOnly="1" outline="0" axis="axisRow" fieldPosition="0"/>
    </format>
    <format dxfId="33">
      <pivotArea dataOnly="0" labelOnly="1" fieldPosition="0">
        <references count="1">
          <reference field="9" count="12">
            <x v="1"/>
            <x v="2"/>
            <x v="3"/>
            <x v="4"/>
            <x v="5"/>
            <x v="6"/>
            <x v="7"/>
            <x v="8"/>
            <x v="9"/>
            <x v="10"/>
            <x v="11"/>
            <x v="12"/>
          </reference>
        </references>
      </pivotArea>
    </format>
    <format dxfId="32">
      <pivotArea dataOnly="0" labelOnly="1" grandRow="1" outline="0" fieldPosition="0"/>
    </format>
    <format dxfId="31">
      <pivotArea dataOnly="0" labelOnly="1" outline="0" axis="axisValues" fieldPosition="0"/>
    </format>
    <format dxfId="30">
      <pivotArea type="all" dataOnly="0" outline="0" fieldPosition="0"/>
    </format>
    <format dxfId="29">
      <pivotArea outline="0" collapsedLevelsAreSubtotals="1" fieldPosition="0"/>
    </format>
    <format dxfId="28">
      <pivotArea field="9" type="button" dataOnly="0" labelOnly="1" outline="0" axis="axisRow" fieldPosition="0"/>
    </format>
    <format dxfId="27">
      <pivotArea dataOnly="0" labelOnly="1" fieldPosition="0">
        <references count="1">
          <reference field="9" count="12">
            <x v="1"/>
            <x v="2"/>
            <x v="3"/>
            <x v="4"/>
            <x v="5"/>
            <x v="6"/>
            <x v="7"/>
            <x v="8"/>
            <x v="9"/>
            <x v="10"/>
            <x v="11"/>
            <x v="12"/>
          </reference>
        </references>
      </pivotArea>
    </format>
    <format dxfId="26">
      <pivotArea dataOnly="0" labelOnly="1" grandRow="1" outline="0" fieldPosition="0"/>
    </format>
    <format dxfId="25">
      <pivotArea dataOnly="0" labelOnly="1" outline="0" axis="axisValues" fieldPosition="0"/>
    </format>
  </formats>
  <chartFormats count="4">
    <chartFormat chart="14" format="0"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FB8D573-4309-49A6-AA19-EB630315CED2}" name="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48:B52" firstHeaderRow="1" firstDataRow="1" firstDataCol="1"/>
  <pivotFields count="10">
    <pivotField numFmtId="14" showAll="0">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axis="axisRow" showAll="0">
      <items count="4">
        <item x="1"/>
        <item x="0"/>
        <item x="2"/>
        <item t="default"/>
      </items>
    </pivotField>
    <pivotField showAll="0">
      <items count="11">
        <item x="0"/>
        <item x="8"/>
        <item x="3"/>
        <item x="4"/>
        <item x="1"/>
        <item x="2"/>
        <item x="5"/>
        <item x="9"/>
        <item x="6"/>
        <item x="7"/>
        <item t="default"/>
      </items>
    </pivotField>
    <pivotField showAll="0">
      <items count="6">
        <item x="0"/>
        <item x="2"/>
        <item x="3"/>
        <item x="4"/>
        <item x="1"/>
        <item t="default"/>
      </items>
    </pivotField>
    <pivotField numFmtId="3" showAll="0"/>
    <pivotField numFmtId="3" showAll="0"/>
    <pivotField dataField="1" numFmtId="3"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4">
    <i>
      <x/>
    </i>
    <i>
      <x v="1"/>
    </i>
    <i>
      <x v="2"/>
    </i>
    <i t="grand">
      <x/>
    </i>
  </rowItems>
  <colItems count="1">
    <i/>
  </colItems>
  <dataFields count="1">
    <dataField name="Sum of Amount" fld="7" baseField="0" baseItem="0" numFmtId="3"/>
  </dataFields>
  <formats count="18">
    <format dxfId="60">
      <pivotArea type="all" dataOnly="0" outline="0" fieldPosition="0"/>
    </format>
    <format dxfId="59">
      <pivotArea outline="0" collapsedLevelsAreSubtotals="1" fieldPosition="0"/>
    </format>
    <format dxfId="58">
      <pivotArea field="2" type="button" dataOnly="0" labelOnly="1" outline="0" axis="axisRow" fieldPosition="0"/>
    </format>
    <format dxfId="57">
      <pivotArea dataOnly="0" labelOnly="1" fieldPosition="0">
        <references count="1">
          <reference field="2" count="0"/>
        </references>
      </pivotArea>
    </format>
    <format dxfId="56">
      <pivotArea dataOnly="0" labelOnly="1" grandRow="1" outline="0" fieldPosition="0"/>
    </format>
    <format dxfId="55">
      <pivotArea dataOnly="0" labelOnly="1" outline="0" axis="axisValues" fieldPosition="0"/>
    </format>
    <format dxfId="54">
      <pivotArea type="all" dataOnly="0" outline="0" fieldPosition="0"/>
    </format>
    <format dxfId="53">
      <pivotArea outline="0" collapsedLevelsAreSubtotals="1" fieldPosition="0"/>
    </format>
    <format dxfId="52">
      <pivotArea field="2" type="button" dataOnly="0" labelOnly="1" outline="0" axis="axisRow" fieldPosition="0"/>
    </format>
    <format dxfId="51">
      <pivotArea dataOnly="0" labelOnly="1" fieldPosition="0">
        <references count="1">
          <reference field="2" count="0"/>
        </references>
      </pivotArea>
    </format>
    <format dxfId="50">
      <pivotArea dataOnly="0" labelOnly="1" grandRow="1" outline="0" fieldPosition="0"/>
    </format>
    <format dxfId="49">
      <pivotArea dataOnly="0" labelOnly="1" outline="0" axis="axisValues" fieldPosition="0"/>
    </format>
    <format dxfId="48">
      <pivotArea type="all" dataOnly="0" outline="0" fieldPosition="0"/>
    </format>
    <format dxfId="47">
      <pivotArea outline="0" collapsedLevelsAreSubtotals="1" fieldPosition="0"/>
    </format>
    <format dxfId="46">
      <pivotArea field="2" type="button" dataOnly="0" labelOnly="1" outline="0" axis="axisRow" fieldPosition="0"/>
    </format>
    <format dxfId="45">
      <pivotArea dataOnly="0" labelOnly="1" fieldPosition="0">
        <references count="1">
          <reference field="2" count="0"/>
        </references>
      </pivotArea>
    </format>
    <format dxfId="44">
      <pivotArea dataOnly="0" labelOnly="1" grandRow="1" outline="0" fieldPosition="0"/>
    </format>
    <format dxfId="43">
      <pivotArea dataOnly="0" labelOnly="1" outline="0" axis="axisValues" fieldPosition="0"/>
    </format>
  </formats>
  <chartFormats count="8">
    <chartFormat chart="4" format="0"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0" format="6">
      <pivotArea type="data" outline="0" fieldPosition="0">
        <references count="2">
          <reference field="4294967294" count="1" selected="0">
            <x v="0"/>
          </reference>
          <reference field="2" count="1" selected="0">
            <x v="0"/>
          </reference>
        </references>
      </pivotArea>
    </chartFormat>
    <chartFormat chart="10" format="7">
      <pivotArea type="data" outline="0" fieldPosition="0">
        <references count="2">
          <reference field="4294967294" count="1" selected="0">
            <x v="0"/>
          </reference>
          <reference field="2" count="1" selected="0">
            <x v="1"/>
          </reference>
        </references>
      </pivotArea>
    </chartFormat>
    <chartFormat chart="10" format="8">
      <pivotArea type="data" outline="0" fieldPosition="0">
        <references count="2">
          <reference field="4294967294" count="1" selected="0">
            <x v="0"/>
          </reference>
          <reference field="2" count="1" selected="0">
            <x v="2"/>
          </reference>
        </references>
      </pivotArea>
    </chartFormat>
    <chartFormat chart="4" format="1">
      <pivotArea type="data" outline="0" fieldPosition="0">
        <references count="2">
          <reference field="4294967294" count="1" selected="0">
            <x v="0"/>
          </reference>
          <reference field="2" count="1" selected="0">
            <x v="0"/>
          </reference>
        </references>
      </pivotArea>
    </chartFormat>
    <chartFormat chart="4" format="2">
      <pivotArea type="data" outline="0" fieldPosition="0">
        <references count="2">
          <reference field="4294967294" count="1" selected="0">
            <x v="0"/>
          </reference>
          <reference field="2" count="1" selected="0">
            <x v="1"/>
          </reference>
        </references>
      </pivotArea>
    </chartFormat>
    <chartFormat chart="4" format="3">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73C3470-32BB-4F73-AE93-C60C32826D91}" name="Salespers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27:B38" firstHeaderRow="1" firstDataRow="1" firstDataCol="1"/>
  <pivotFields count="10">
    <pivotField numFmtId="14" showAll="0">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pivotField showAll="0"/>
    <pivotField axis="axisRow" showAll="0" sortType="ascending">
      <items count="11">
        <item x="0"/>
        <item x="8"/>
        <item x="3"/>
        <item x="4"/>
        <item x="1"/>
        <item x="2"/>
        <item x="5"/>
        <item x="9"/>
        <item x="6"/>
        <item x="7"/>
        <item t="default"/>
      </items>
      <autoSortScope>
        <pivotArea dataOnly="0" outline="0" fieldPosition="0">
          <references count="1">
            <reference field="4294967294" count="1" selected="0">
              <x v="0"/>
            </reference>
          </references>
        </pivotArea>
      </autoSortScope>
    </pivotField>
    <pivotField showAll="0">
      <items count="6">
        <item x="0"/>
        <item x="2"/>
        <item x="3"/>
        <item x="4"/>
        <item x="1"/>
        <item t="default"/>
      </items>
    </pivotField>
    <pivotField numFmtId="3" showAll="0"/>
    <pivotField numFmtId="3" showAll="0"/>
    <pivotField dataField="1" numFmtId="3"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11">
    <i>
      <x v="7"/>
    </i>
    <i>
      <x v="4"/>
    </i>
    <i>
      <x v="2"/>
    </i>
    <i>
      <x v="6"/>
    </i>
    <i>
      <x v="3"/>
    </i>
    <i>
      <x v="9"/>
    </i>
    <i>
      <x v="8"/>
    </i>
    <i>
      <x/>
    </i>
    <i>
      <x v="5"/>
    </i>
    <i>
      <x v="1"/>
    </i>
    <i t="grand">
      <x/>
    </i>
  </rowItems>
  <colItems count="1">
    <i/>
  </colItems>
  <dataFields count="1">
    <dataField name="Sum of Amount" fld="7" baseField="0" baseItem="0" numFmtId="3"/>
  </dataFields>
  <formats count="18">
    <format dxfId="78">
      <pivotArea type="all" dataOnly="0" outline="0" fieldPosition="0"/>
    </format>
    <format dxfId="77">
      <pivotArea outline="0" collapsedLevelsAreSubtotals="1" fieldPosition="0"/>
    </format>
    <format dxfId="76">
      <pivotArea field="3" type="button" dataOnly="0" labelOnly="1" outline="0" axis="axisRow" fieldPosition="0"/>
    </format>
    <format dxfId="75">
      <pivotArea dataOnly="0" labelOnly="1" fieldPosition="0">
        <references count="1">
          <reference field="3" count="0"/>
        </references>
      </pivotArea>
    </format>
    <format dxfId="74">
      <pivotArea dataOnly="0" labelOnly="1" grandRow="1" outline="0" fieldPosition="0"/>
    </format>
    <format dxfId="73">
      <pivotArea dataOnly="0" labelOnly="1" outline="0" axis="axisValues" fieldPosition="0"/>
    </format>
    <format dxfId="72">
      <pivotArea type="all" dataOnly="0" outline="0" fieldPosition="0"/>
    </format>
    <format dxfId="71">
      <pivotArea outline="0" collapsedLevelsAreSubtotals="1" fieldPosition="0"/>
    </format>
    <format dxfId="70">
      <pivotArea field="3" type="button" dataOnly="0" labelOnly="1" outline="0" axis="axisRow" fieldPosition="0"/>
    </format>
    <format dxfId="69">
      <pivotArea dataOnly="0" labelOnly="1" fieldPosition="0">
        <references count="1">
          <reference field="3" count="0"/>
        </references>
      </pivotArea>
    </format>
    <format dxfId="68">
      <pivotArea dataOnly="0" labelOnly="1" grandRow="1" outline="0" fieldPosition="0"/>
    </format>
    <format dxfId="67">
      <pivotArea dataOnly="0" labelOnly="1" outline="0" axis="axisValues" fieldPosition="0"/>
    </format>
    <format dxfId="66">
      <pivotArea type="all" dataOnly="0" outline="0" fieldPosition="0"/>
    </format>
    <format dxfId="65">
      <pivotArea outline="0" collapsedLevelsAreSubtotals="1" fieldPosition="0"/>
    </format>
    <format dxfId="64">
      <pivotArea field="3" type="button" dataOnly="0" labelOnly="1" outline="0" axis="axisRow" fieldPosition="0"/>
    </format>
    <format dxfId="63">
      <pivotArea dataOnly="0" labelOnly="1" fieldPosition="0">
        <references count="1">
          <reference field="3" count="0"/>
        </references>
      </pivotArea>
    </format>
    <format dxfId="62">
      <pivotArea dataOnly="0" labelOnly="1" grandRow="1" outline="0" fieldPosition="0"/>
    </format>
    <format dxfId="61">
      <pivotArea dataOnly="0" labelOnly="1" outline="0" axis="axisValues" fieldPosition="0"/>
    </format>
  </format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D20C368-5C7C-4233-BE89-3795FCBA6B9F}" name="Produc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4:B21" firstHeaderRow="1" firstDataRow="1" firstDataCol="1"/>
  <pivotFields count="10">
    <pivotField numFmtId="14" showAll="0">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axis="axisRow" showAll="0">
      <items count="7">
        <item x="2"/>
        <item x="0"/>
        <item x="3"/>
        <item x="4"/>
        <item x="5"/>
        <item x="1"/>
        <item t="default"/>
      </items>
    </pivotField>
    <pivotField showAll="0"/>
    <pivotField showAll="0">
      <items count="11">
        <item x="0"/>
        <item x="8"/>
        <item x="3"/>
        <item x="4"/>
        <item x="1"/>
        <item x="2"/>
        <item x="5"/>
        <item x="9"/>
        <item x="6"/>
        <item x="7"/>
        <item t="default"/>
      </items>
    </pivotField>
    <pivotField showAll="0">
      <items count="6">
        <item x="0"/>
        <item x="2"/>
        <item x="3"/>
        <item x="4"/>
        <item x="1"/>
        <item t="default"/>
      </items>
    </pivotField>
    <pivotField numFmtId="3" showAll="0"/>
    <pivotField numFmtId="3" showAll="0"/>
    <pivotField dataField="1" numFmtId="3"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7">
    <i>
      <x/>
    </i>
    <i>
      <x v="1"/>
    </i>
    <i>
      <x v="2"/>
    </i>
    <i>
      <x v="3"/>
    </i>
    <i>
      <x v="4"/>
    </i>
    <i>
      <x v="5"/>
    </i>
    <i t="grand">
      <x/>
    </i>
  </rowItems>
  <colItems count="1">
    <i/>
  </colItems>
  <dataFields count="1">
    <dataField name="Sum of Amount" fld="7" baseField="0" baseItem="0" numFmtId="3"/>
  </dataFields>
  <formats count="18">
    <format dxfId="96">
      <pivotArea type="all" dataOnly="0" outline="0" fieldPosition="0"/>
    </format>
    <format dxfId="95">
      <pivotArea outline="0" collapsedLevelsAreSubtotals="1" fieldPosition="0"/>
    </format>
    <format dxfId="94">
      <pivotArea field="1" type="button" dataOnly="0" labelOnly="1" outline="0" axis="axisRow" fieldPosition="0"/>
    </format>
    <format dxfId="93">
      <pivotArea dataOnly="0" labelOnly="1" fieldPosition="0">
        <references count="1">
          <reference field="1" count="0"/>
        </references>
      </pivotArea>
    </format>
    <format dxfId="92">
      <pivotArea dataOnly="0" labelOnly="1" grandRow="1" outline="0" fieldPosition="0"/>
    </format>
    <format dxfId="91">
      <pivotArea dataOnly="0" labelOnly="1" outline="0" axis="axisValues" fieldPosition="0"/>
    </format>
    <format dxfId="90">
      <pivotArea type="all" dataOnly="0" outline="0" fieldPosition="0"/>
    </format>
    <format dxfId="89">
      <pivotArea outline="0" collapsedLevelsAreSubtotals="1" fieldPosition="0"/>
    </format>
    <format dxfId="88">
      <pivotArea field="1" type="button" dataOnly="0" labelOnly="1" outline="0" axis="axisRow" fieldPosition="0"/>
    </format>
    <format dxfId="87">
      <pivotArea dataOnly="0" labelOnly="1" fieldPosition="0">
        <references count="1">
          <reference field="1" count="0"/>
        </references>
      </pivotArea>
    </format>
    <format dxfId="86">
      <pivotArea dataOnly="0" labelOnly="1" grandRow="1" outline="0" fieldPosition="0"/>
    </format>
    <format dxfId="85">
      <pivotArea dataOnly="0" labelOnly="1" outline="0" axis="axisValues" fieldPosition="0"/>
    </format>
    <format dxfId="84">
      <pivotArea type="all" dataOnly="0" outline="0" fieldPosition="0"/>
    </format>
    <format dxfId="83">
      <pivotArea outline="0" collapsedLevelsAreSubtotals="1" fieldPosition="0"/>
    </format>
    <format dxfId="82">
      <pivotArea field="1" type="button" dataOnly="0" labelOnly="1" outline="0" axis="axisRow" fieldPosition="0"/>
    </format>
    <format dxfId="81">
      <pivotArea dataOnly="0" labelOnly="1" fieldPosition="0">
        <references count="1">
          <reference field="1" count="0"/>
        </references>
      </pivotArea>
    </format>
    <format dxfId="80">
      <pivotArea dataOnly="0" labelOnly="1" grandRow="1" outline="0" fieldPosition="0"/>
    </format>
    <format dxfId="79">
      <pivotArea dataOnly="0" labelOnly="1" outline="0" axis="axisValues" fieldPosition="0"/>
    </format>
  </formats>
  <chartFormats count="2">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53C4A9C9-BB34-4363-B3B8-B45DB2C4D307}" sourceName="Months (Date)">
  <pivotTables>
    <pivotTable tabId="2" name="Product"/>
    <pivotTable tabId="2" name="Category"/>
    <pivotTable tabId="2" name="City"/>
    <pivotTable tabId="2" name="Salesperson"/>
  </pivotTables>
  <data>
    <tabular pivotCacheId="7367534">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Date)" xr10:uid="{51D4F311-7871-442A-B694-C98432CB0B5F}" cache="Slicer_Months__Date" caption="Months (Date)" columnCount="3"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724841-3E54-4E47-9CE9-26EA4B648541}" name="Table1" displayName="Table1" ref="A3:E68" totalsRowShown="0" headerRowDxfId="6" dataDxfId="5">
  <autoFilter ref="A3:E68" xr:uid="{44724841-3E54-4E47-9CE9-26EA4B648541}"/>
  <tableColumns count="5">
    <tableColumn id="1" xr3:uid="{FFBA406B-61BB-40DE-A025-72F850087904}" name="Date" dataDxfId="4"/>
    <tableColumn id="2" xr3:uid="{0E16E924-E953-4421-8F25-2B60A3E4117D}" name="Amount" dataDxfId="3"/>
    <tableColumn id="3" xr3:uid="{B5C62E03-FC5F-482B-A97B-B9DB586DB879}" name="Forecast(Amount)" dataDxfId="2"/>
    <tableColumn id="4" xr3:uid="{B34529C2-88FC-4A21-8296-A8A9AC7B322A}" name="Lower Confidence Bound(Amount)" dataDxfId="1"/>
    <tableColumn id="5" xr3:uid="{15A86D17-4EF2-47D7-88AB-F5FC632347D9}" name="Upper Confidence Bound(Amount)" dataDxfId="0">
      <calculatedColumnFormula>C4+_xlfn.FORECAST.ETS.CONFINT(A4,$B$4:$B$55,$A$4:$A$55,0.95,1,1)</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4196B-6D25-429D-8A3D-BDBF1D7024D2}">
  <sheetPr codeName="Sheet1"/>
  <dimension ref="F1:M1563"/>
  <sheetViews>
    <sheetView workbookViewId="0">
      <selection activeCell="B25" sqref="B25"/>
    </sheetView>
  </sheetViews>
  <sheetFormatPr defaultRowHeight="14.4" x14ac:dyDescent="0.3"/>
  <cols>
    <col min="1" max="1" width="15.21875" style="2" customWidth="1"/>
    <col min="2" max="2" width="19.109375" style="2" customWidth="1"/>
    <col min="3" max="3" width="14.109375" style="2" customWidth="1"/>
    <col min="4" max="4" width="10.5546875" style="2" customWidth="1"/>
    <col min="5" max="5" width="7.109375" style="2" customWidth="1"/>
    <col min="6" max="6" width="11.33203125" style="2" customWidth="1"/>
    <col min="7" max="7" width="18" style="2" customWidth="1"/>
    <col min="8" max="8" width="12.5546875" style="2" customWidth="1"/>
    <col min="9" max="9" width="10" style="2" customWidth="1"/>
    <col min="10" max="11" width="9.88671875" style="2" customWidth="1"/>
    <col min="12" max="16384" width="8.88671875" style="2"/>
  </cols>
  <sheetData>
    <row r="1" spans="6:13" ht="34.200000000000003" customHeight="1" x14ac:dyDescent="0.3"/>
    <row r="3" spans="6:13" x14ac:dyDescent="0.3">
      <c r="F3" s="6" t="s">
        <v>0</v>
      </c>
      <c r="G3" s="6" t="s">
        <v>1</v>
      </c>
      <c r="H3" s="6" t="s">
        <v>2</v>
      </c>
      <c r="I3" s="6" t="s">
        <v>3</v>
      </c>
      <c r="J3" s="6" t="s">
        <v>4</v>
      </c>
      <c r="K3" s="6" t="s">
        <v>5</v>
      </c>
      <c r="L3" s="6" t="s">
        <v>6</v>
      </c>
      <c r="M3" s="6" t="s">
        <v>7</v>
      </c>
    </row>
    <row r="4" spans="6:13" x14ac:dyDescent="0.3">
      <c r="F4" s="7">
        <v>44204</v>
      </c>
      <c r="G4" s="8" t="s">
        <v>8</v>
      </c>
      <c r="H4" s="8" t="s">
        <v>9</v>
      </c>
      <c r="I4" s="8" t="s">
        <v>10</v>
      </c>
      <c r="J4" s="8" t="s">
        <v>11</v>
      </c>
      <c r="K4" s="9">
        <v>3</v>
      </c>
      <c r="L4" s="9">
        <v>2001</v>
      </c>
      <c r="M4" s="9">
        <f t="shared" ref="M4:M67" si="0">K4*L4</f>
        <v>6003</v>
      </c>
    </row>
    <row r="5" spans="6:13" x14ac:dyDescent="0.3">
      <c r="F5" s="7">
        <v>44204</v>
      </c>
      <c r="G5" s="8" t="s">
        <v>12</v>
      </c>
      <c r="H5" s="8" t="s">
        <v>13</v>
      </c>
      <c r="I5" s="8" t="s">
        <v>14</v>
      </c>
      <c r="J5" s="8" t="s">
        <v>11</v>
      </c>
      <c r="K5" s="9">
        <v>31</v>
      </c>
      <c r="L5" s="9">
        <v>75</v>
      </c>
      <c r="M5" s="9">
        <f t="shared" si="0"/>
        <v>2325</v>
      </c>
    </row>
    <row r="6" spans="6:13" x14ac:dyDescent="0.3">
      <c r="F6" s="7">
        <v>44204</v>
      </c>
      <c r="G6" s="8" t="s">
        <v>15</v>
      </c>
      <c r="H6" s="8" t="s">
        <v>13</v>
      </c>
      <c r="I6" s="8" t="s">
        <v>14</v>
      </c>
      <c r="J6" s="8" t="s">
        <v>11</v>
      </c>
      <c r="K6" s="9">
        <v>12</v>
      </c>
      <c r="L6" s="9">
        <v>315</v>
      </c>
      <c r="M6" s="9">
        <f t="shared" si="0"/>
        <v>3780</v>
      </c>
    </row>
    <row r="7" spans="6:13" x14ac:dyDescent="0.3">
      <c r="F7" s="7">
        <v>44204</v>
      </c>
      <c r="G7" s="8" t="s">
        <v>16</v>
      </c>
      <c r="H7" s="8" t="s">
        <v>9</v>
      </c>
      <c r="I7" s="8" t="s">
        <v>10</v>
      </c>
      <c r="J7" s="8" t="s">
        <v>11</v>
      </c>
      <c r="K7" s="9">
        <v>4</v>
      </c>
      <c r="L7" s="9">
        <v>1080</v>
      </c>
      <c r="M7" s="9">
        <f t="shared" si="0"/>
        <v>4320</v>
      </c>
    </row>
    <row r="8" spans="6:13" x14ac:dyDescent="0.3">
      <c r="F8" s="7">
        <v>44204</v>
      </c>
      <c r="G8" s="8" t="s">
        <v>17</v>
      </c>
      <c r="H8" s="8" t="s">
        <v>18</v>
      </c>
      <c r="I8" s="8" t="s">
        <v>10</v>
      </c>
      <c r="J8" s="8" t="s">
        <v>11</v>
      </c>
      <c r="K8" s="9">
        <v>4</v>
      </c>
      <c r="L8" s="9">
        <v>1575</v>
      </c>
      <c r="M8" s="9">
        <f t="shared" si="0"/>
        <v>6300</v>
      </c>
    </row>
    <row r="9" spans="6:13" x14ac:dyDescent="0.3">
      <c r="F9" s="7">
        <v>44204</v>
      </c>
      <c r="G9" s="8" t="s">
        <v>19</v>
      </c>
      <c r="H9" s="8" t="s">
        <v>18</v>
      </c>
      <c r="I9" s="8" t="s">
        <v>10</v>
      </c>
      <c r="J9" s="8" t="s">
        <v>11</v>
      </c>
      <c r="K9" s="9">
        <v>10</v>
      </c>
      <c r="L9" s="9">
        <v>790</v>
      </c>
      <c r="M9" s="9">
        <f t="shared" si="0"/>
        <v>7900</v>
      </c>
    </row>
    <row r="10" spans="6:13" x14ac:dyDescent="0.3">
      <c r="F10" s="7">
        <v>44204</v>
      </c>
      <c r="G10" s="8" t="s">
        <v>8</v>
      </c>
      <c r="H10" s="8" t="s">
        <v>9</v>
      </c>
      <c r="I10" s="8" t="s">
        <v>20</v>
      </c>
      <c r="J10" s="8" t="s">
        <v>21</v>
      </c>
      <c r="K10" s="9">
        <v>5</v>
      </c>
      <c r="L10" s="9">
        <v>2001</v>
      </c>
      <c r="M10" s="9">
        <f t="shared" si="0"/>
        <v>10005</v>
      </c>
    </row>
    <row r="11" spans="6:13" x14ac:dyDescent="0.3">
      <c r="F11" s="7">
        <v>44204</v>
      </c>
      <c r="G11" s="8" t="s">
        <v>12</v>
      </c>
      <c r="H11" s="8" t="s">
        <v>13</v>
      </c>
      <c r="I11" s="8" t="s">
        <v>22</v>
      </c>
      <c r="J11" s="8" t="s">
        <v>21</v>
      </c>
      <c r="K11" s="9">
        <v>40</v>
      </c>
      <c r="L11" s="9">
        <v>75</v>
      </c>
      <c r="M11" s="9">
        <f t="shared" si="0"/>
        <v>3000</v>
      </c>
    </row>
    <row r="12" spans="6:13" x14ac:dyDescent="0.3">
      <c r="F12" s="7">
        <v>44204</v>
      </c>
      <c r="G12" s="8" t="s">
        <v>15</v>
      </c>
      <c r="H12" s="8" t="s">
        <v>13</v>
      </c>
      <c r="I12" s="8" t="s">
        <v>22</v>
      </c>
      <c r="J12" s="8" t="s">
        <v>21</v>
      </c>
      <c r="K12" s="9">
        <v>15</v>
      </c>
      <c r="L12" s="9">
        <v>315</v>
      </c>
      <c r="M12" s="9">
        <f t="shared" si="0"/>
        <v>4725</v>
      </c>
    </row>
    <row r="13" spans="6:13" x14ac:dyDescent="0.3">
      <c r="F13" s="7">
        <v>44204</v>
      </c>
      <c r="G13" s="8" t="s">
        <v>16</v>
      </c>
      <c r="H13" s="8" t="s">
        <v>9</v>
      </c>
      <c r="I13" s="8" t="s">
        <v>20</v>
      </c>
      <c r="J13" s="8" t="s">
        <v>21</v>
      </c>
      <c r="K13" s="9">
        <v>6</v>
      </c>
      <c r="L13" s="9">
        <v>1080</v>
      </c>
      <c r="M13" s="9">
        <f t="shared" si="0"/>
        <v>6480</v>
      </c>
    </row>
    <row r="14" spans="6:13" x14ac:dyDescent="0.3">
      <c r="F14" s="7">
        <v>44204</v>
      </c>
      <c r="G14" s="8" t="s">
        <v>17</v>
      </c>
      <c r="H14" s="8" t="s">
        <v>18</v>
      </c>
      <c r="I14" s="8" t="s">
        <v>22</v>
      </c>
      <c r="J14" s="8" t="s">
        <v>21</v>
      </c>
      <c r="K14" s="9">
        <v>3</v>
      </c>
      <c r="L14" s="9">
        <v>1575</v>
      </c>
      <c r="M14" s="9">
        <f t="shared" si="0"/>
        <v>4725</v>
      </c>
    </row>
    <row r="15" spans="6:13" x14ac:dyDescent="0.3">
      <c r="F15" s="7">
        <v>44204</v>
      </c>
      <c r="G15" s="8" t="s">
        <v>19</v>
      </c>
      <c r="H15" s="8" t="s">
        <v>18</v>
      </c>
      <c r="I15" s="8" t="s">
        <v>22</v>
      </c>
      <c r="J15" s="8" t="s">
        <v>21</v>
      </c>
      <c r="K15" s="9">
        <v>10</v>
      </c>
      <c r="L15" s="9">
        <v>790</v>
      </c>
      <c r="M15" s="9">
        <f t="shared" si="0"/>
        <v>7900</v>
      </c>
    </row>
    <row r="16" spans="6:13" x14ac:dyDescent="0.3">
      <c r="F16" s="7">
        <v>44204</v>
      </c>
      <c r="G16" s="8" t="s">
        <v>8</v>
      </c>
      <c r="H16" s="8" t="s">
        <v>9</v>
      </c>
      <c r="I16" s="8" t="s">
        <v>23</v>
      </c>
      <c r="J16" s="8" t="s">
        <v>24</v>
      </c>
      <c r="K16" s="9">
        <v>3</v>
      </c>
      <c r="L16" s="9">
        <v>2001</v>
      </c>
      <c r="M16" s="9">
        <f t="shared" si="0"/>
        <v>6003</v>
      </c>
    </row>
    <row r="17" spans="6:13" x14ac:dyDescent="0.3">
      <c r="F17" s="7">
        <v>44204</v>
      </c>
      <c r="G17" s="8" t="s">
        <v>12</v>
      </c>
      <c r="H17" s="8" t="s">
        <v>13</v>
      </c>
      <c r="I17" s="8" t="s">
        <v>23</v>
      </c>
      <c r="J17" s="8" t="s">
        <v>24</v>
      </c>
      <c r="K17" s="9">
        <v>33</v>
      </c>
      <c r="L17" s="9">
        <v>75</v>
      </c>
      <c r="M17" s="9">
        <f t="shared" si="0"/>
        <v>2475</v>
      </c>
    </row>
    <row r="18" spans="6:13" x14ac:dyDescent="0.3">
      <c r="F18" s="7">
        <v>44204</v>
      </c>
      <c r="G18" s="8" t="s">
        <v>15</v>
      </c>
      <c r="H18" s="8" t="s">
        <v>13</v>
      </c>
      <c r="I18" s="8" t="s">
        <v>23</v>
      </c>
      <c r="J18" s="8" t="s">
        <v>24</v>
      </c>
      <c r="K18" s="9">
        <v>11</v>
      </c>
      <c r="L18" s="9">
        <v>315</v>
      </c>
      <c r="M18" s="9">
        <f t="shared" si="0"/>
        <v>3465</v>
      </c>
    </row>
    <row r="19" spans="6:13" x14ac:dyDescent="0.3">
      <c r="F19" s="7">
        <v>44204</v>
      </c>
      <c r="G19" s="8" t="s">
        <v>16</v>
      </c>
      <c r="H19" s="8" t="s">
        <v>9</v>
      </c>
      <c r="I19" s="8" t="s">
        <v>23</v>
      </c>
      <c r="J19" s="8" t="s">
        <v>24</v>
      </c>
      <c r="K19" s="9">
        <v>2</v>
      </c>
      <c r="L19" s="9">
        <v>1080</v>
      </c>
      <c r="M19" s="9">
        <f t="shared" si="0"/>
        <v>2160</v>
      </c>
    </row>
    <row r="20" spans="6:13" x14ac:dyDescent="0.3">
      <c r="F20" s="7">
        <v>44204</v>
      </c>
      <c r="G20" s="8" t="s">
        <v>17</v>
      </c>
      <c r="H20" s="8" t="s">
        <v>18</v>
      </c>
      <c r="I20" s="8" t="s">
        <v>25</v>
      </c>
      <c r="J20" s="8" t="s">
        <v>24</v>
      </c>
      <c r="K20" s="9">
        <v>3</v>
      </c>
      <c r="L20" s="9">
        <v>1575</v>
      </c>
      <c r="M20" s="9">
        <f t="shared" si="0"/>
        <v>4725</v>
      </c>
    </row>
    <row r="21" spans="6:13" x14ac:dyDescent="0.3">
      <c r="F21" s="7">
        <v>44204</v>
      </c>
      <c r="G21" s="8" t="s">
        <v>19</v>
      </c>
      <c r="H21" s="8" t="s">
        <v>18</v>
      </c>
      <c r="I21" s="8" t="s">
        <v>25</v>
      </c>
      <c r="J21" s="8" t="s">
        <v>24</v>
      </c>
      <c r="K21" s="9">
        <v>5</v>
      </c>
      <c r="L21" s="9">
        <v>790</v>
      </c>
      <c r="M21" s="9">
        <f t="shared" si="0"/>
        <v>3950</v>
      </c>
    </row>
    <row r="22" spans="6:13" x14ac:dyDescent="0.3">
      <c r="F22" s="7">
        <v>44204</v>
      </c>
      <c r="G22" s="8" t="s">
        <v>8</v>
      </c>
      <c r="H22" s="8" t="s">
        <v>9</v>
      </c>
      <c r="I22" s="8" t="s">
        <v>26</v>
      </c>
      <c r="J22" s="8" t="s">
        <v>27</v>
      </c>
      <c r="K22" s="9">
        <v>5</v>
      </c>
      <c r="L22" s="9">
        <v>2001</v>
      </c>
      <c r="M22" s="9">
        <f t="shared" si="0"/>
        <v>10005</v>
      </c>
    </row>
    <row r="23" spans="6:13" x14ac:dyDescent="0.3">
      <c r="F23" s="7">
        <v>44204</v>
      </c>
      <c r="G23" s="8" t="s">
        <v>12</v>
      </c>
      <c r="H23" s="8" t="s">
        <v>13</v>
      </c>
      <c r="I23" s="8" t="s">
        <v>26</v>
      </c>
      <c r="J23" s="8" t="s">
        <v>27</v>
      </c>
      <c r="K23" s="9">
        <v>41</v>
      </c>
      <c r="L23" s="9">
        <v>75</v>
      </c>
      <c r="M23" s="9">
        <f t="shared" si="0"/>
        <v>3075</v>
      </c>
    </row>
    <row r="24" spans="6:13" x14ac:dyDescent="0.3">
      <c r="F24" s="7">
        <v>44204</v>
      </c>
      <c r="G24" s="8" t="s">
        <v>15</v>
      </c>
      <c r="H24" s="8" t="s">
        <v>13</v>
      </c>
      <c r="I24" s="8" t="s">
        <v>26</v>
      </c>
      <c r="J24" s="8" t="s">
        <v>27</v>
      </c>
      <c r="K24" s="9">
        <v>11</v>
      </c>
      <c r="L24" s="9">
        <v>315</v>
      </c>
      <c r="M24" s="9">
        <f t="shared" si="0"/>
        <v>3465</v>
      </c>
    </row>
    <row r="25" spans="6:13" x14ac:dyDescent="0.3">
      <c r="F25" s="7">
        <v>44204</v>
      </c>
      <c r="G25" s="8" t="s">
        <v>16</v>
      </c>
      <c r="H25" s="8" t="s">
        <v>9</v>
      </c>
      <c r="I25" s="8" t="s">
        <v>26</v>
      </c>
      <c r="J25" s="8" t="s">
        <v>27</v>
      </c>
      <c r="K25" s="9">
        <v>4</v>
      </c>
      <c r="L25" s="9">
        <v>1080</v>
      </c>
      <c r="M25" s="9">
        <f t="shared" si="0"/>
        <v>4320</v>
      </c>
    </row>
    <row r="26" spans="6:13" x14ac:dyDescent="0.3">
      <c r="F26" s="7">
        <v>44204</v>
      </c>
      <c r="G26" s="8" t="s">
        <v>17</v>
      </c>
      <c r="H26" s="8" t="s">
        <v>18</v>
      </c>
      <c r="I26" s="8" t="s">
        <v>28</v>
      </c>
      <c r="J26" s="8" t="s">
        <v>27</v>
      </c>
      <c r="K26" s="9">
        <v>6</v>
      </c>
      <c r="L26" s="9">
        <v>1575</v>
      </c>
      <c r="M26" s="9">
        <f t="shared" si="0"/>
        <v>9450</v>
      </c>
    </row>
    <row r="27" spans="6:13" x14ac:dyDescent="0.3">
      <c r="F27" s="7">
        <v>44204</v>
      </c>
      <c r="G27" s="8" t="s">
        <v>19</v>
      </c>
      <c r="H27" s="8" t="s">
        <v>18</v>
      </c>
      <c r="I27" s="8" t="s">
        <v>28</v>
      </c>
      <c r="J27" s="8" t="s">
        <v>27</v>
      </c>
      <c r="K27" s="9">
        <v>8</v>
      </c>
      <c r="L27" s="9">
        <v>790</v>
      </c>
      <c r="M27" s="9">
        <f t="shared" si="0"/>
        <v>6320</v>
      </c>
    </row>
    <row r="28" spans="6:13" x14ac:dyDescent="0.3">
      <c r="F28" s="7">
        <v>44204</v>
      </c>
      <c r="G28" s="8" t="s">
        <v>8</v>
      </c>
      <c r="H28" s="8" t="s">
        <v>9</v>
      </c>
      <c r="I28" s="8" t="s">
        <v>29</v>
      </c>
      <c r="J28" s="8" t="s">
        <v>30</v>
      </c>
      <c r="K28" s="9">
        <v>6</v>
      </c>
      <c r="L28" s="9">
        <v>2001</v>
      </c>
      <c r="M28" s="9">
        <f t="shared" si="0"/>
        <v>12006</v>
      </c>
    </row>
    <row r="29" spans="6:13" x14ac:dyDescent="0.3">
      <c r="F29" s="7">
        <v>44204</v>
      </c>
      <c r="G29" s="8" t="s">
        <v>12</v>
      </c>
      <c r="H29" s="8" t="s">
        <v>13</v>
      </c>
      <c r="I29" s="8" t="s">
        <v>31</v>
      </c>
      <c r="J29" s="8" t="s">
        <v>30</v>
      </c>
      <c r="K29" s="9">
        <v>44</v>
      </c>
      <c r="L29" s="9">
        <v>75</v>
      </c>
      <c r="M29" s="9">
        <f t="shared" si="0"/>
        <v>3300</v>
      </c>
    </row>
    <row r="30" spans="6:13" x14ac:dyDescent="0.3">
      <c r="F30" s="7">
        <v>44204</v>
      </c>
      <c r="G30" s="8" t="s">
        <v>15</v>
      </c>
      <c r="H30" s="8" t="s">
        <v>13</v>
      </c>
      <c r="I30" s="8" t="s">
        <v>31</v>
      </c>
      <c r="J30" s="8" t="s">
        <v>30</v>
      </c>
      <c r="K30" s="9">
        <v>13</v>
      </c>
      <c r="L30" s="9">
        <v>315</v>
      </c>
      <c r="M30" s="9">
        <f t="shared" si="0"/>
        <v>4095</v>
      </c>
    </row>
    <row r="31" spans="6:13" x14ac:dyDescent="0.3">
      <c r="F31" s="7">
        <v>44204</v>
      </c>
      <c r="G31" s="8" t="s">
        <v>16</v>
      </c>
      <c r="H31" s="8" t="s">
        <v>9</v>
      </c>
      <c r="I31" s="8" t="s">
        <v>29</v>
      </c>
      <c r="J31" s="8" t="s">
        <v>30</v>
      </c>
      <c r="K31" s="9">
        <v>4</v>
      </c>
      <c r="L31" s="9">
        <v>1080</v>
      </c>
      <c r="M31" s="9">
        <f t="shared" si="0"/>
        <v>4320</v>
      </c>
    </row>
    <row r="32" spans="6:13" x14ac:dyDescent="0.3">
      <c r="F32" s="7">
        <v>44204</v>
      </c>
      <c r="G32" s="8" t="s">
        <v>17</v>
      </c>
      <c r="H32" s="8" t="s">
        <v>18</v>
      </c>
      <c r="I32" s="8" t="s">
        <v>31</v>
      </c>
      <c r="J32" s="8" t="s">
        <v>30</v>
      </c>
      <c r="K32" s="9">
        <v>5</v>
      </c>
      <c r="L32" s="9">
        <v>1575</v>
      </c>
      <c r="M32" s="9">
        <f t="shared" si="0"/>
        <v>7875</v>
      </c>
    </row>
    <row r="33" spans="6:13" x14ac:dyDescent="0.3">
      <c r="F33" s="7">
        <v>44204</v>
      </c>
      <c r="G33" s="8" t="s">
        <v>19</v>
      </c>
      <c r="H33" s="8" t="s">
        <v>18</v>
      </c>
      <c r="I33" s="8" t="s">
        <v>31</v>
      </c>
      <c r="J33" s="8" t="s">
        <v>30</v>
      </c>
      <c r="K33" s="9">
        <v>8</v>
      </c>
      <c r="L33" s="9">
        <v>790</v>
      </c>
      <c r="M33" s="9">
        <f t="shared" si="0"/>
        <v>6320</v>
      </c>
    </row>
    <row r="34" spans="6:13" x14ac:dyDescent="0.3">
      <c r="F34" s="7">
        <v>44211</v>
      </c>
      <c r="G34" s="8" t="s">
        <v>8</v>
      </c>
      <c r="H34" s="8" t="s">
        <v>9</v>
      </c>
      <c r="I34" s="8" t="s">
        <v>10</v>
      </c>
      <c r="J34" s="8" t="s">
        <v>11</v>
      </c>
      <c r="K34" s="9">
        <v>6</v>
      </c>
      <c r="L34" s="9">
        <v>2001</v>
      </c>
      <c r="M34" s="9">
        <f t="shared" si="0"/>
        <v>12006</v>
      </c>
    </row>
    <row r="35" spans="6:13" x14ac:dyDescent="0.3">
      <c r="F35" s="7">
        <v>44211</v>
      </c>
      <c r="G35" s="8" t="s">
        <v>12</v>
      </c>
      <c r="H35" s="8" t="s">
        <v>13</v>
      </c>
      <c r="I35" s="8" t="s">
        <v>14</v>
      </c>
      <c r="J35" s="8" t="s">
        <v>11</v>
      </c>
      <c r="K35" s="9">
        <v>40</v>
      </c>
      <c r="L35" s="9">
        <v>75</v>
      </c>
      <c r="M35" s="9">
        <f t="shared" si="0"/>
        <v>3000</v>
      </c>
    </row>
    <row r="36" spans="6:13" x14ac:dyDescent="0.3">
      <c r="F36" s="7">
        <v>44211</v>
      </c>
      <c r="G36" s="8" t="s">
        <v>15</v>
      </c>
      <c r="H36" s="8" t="s">
        <v>13</v>
      </c>
      <c r="I36" s="8" t="s">
        <v>14</v>
      </c>
      <c r="J36" s="8" t="s">
        <v>11</v>
      </c>
      <c r="K36" s="9">
        <v>12</v>
      </c>
      <c r="L36" s="9">
        <v>315</v>
      </c>
      <c r="M36" s="9">
        <f t="shared" si="0"/>
        <v>3780</v>
      </c>
    </row>
    <row r="37" spans="6:13" x14ac:dyDescent="0.3">
      <c r="F37" s="7">
        <v>44211</v>
      </c>
      <c r="G37" s="8" t="s">
        <v>16</v>
      </c>
      <c r="H37" s="8" t="s">
        <v>9</v>
      </c>
      <c r="I37" s="8" t="s">
        <v>10</v>
      </c>
      <c r="J37" s="8" t="s">
        <v>11</v>
      </c>
      <c r="K37" s="9">
        <v>3</v>
      </c>
      <c r="L37" s="9">
        <v>1080</v>
      </c>
      <c r="M37" s="9">
        <f t="shared" si="0"/>
        <v>3240</v>
      </c>
    </row>
    <row r="38" spans="6:13" x14ac:dyDescent="0.3">
      <c r="F38" s="7">
        <v>44211</v>
      </c>
      <c r="G38" s="8" t="s">
        <v>17</v>
      </c>
      <c r="H38" s="8" t="s">
        <v>18</v>
      </c>
      <c r="I38" s="8" t="s">
        <v>10</v>
      </c>
      <c r="J38" s="8" t="s">
        <v>11</v>
      </c>
      <c r="K38" s="9">
        <v>6</v>
      </c>
      <c r="L38" s="9">
        <v>1575</v>
      </c>
      <c r="M38" s="9">
        <f t="shared" si="0"/>
        <v>9450</v>
      </c>
    </row>
    <row r="39" spans="6:13" x14ac:dyDescent="0.3">
      <c r="F39" s="7">
        <v>44211</v>
      </c>
      <c r="G39" s="8" t="s">
        <v>19</v>
      </c>
      <c r="H39" s="8" t="s">
        <v>18</v>
      </c>
      <c r="I39" s="8" t="s">
        <v>10</v>
      </c>
      <c r="J39" s="8" t="s">
        <v>11</v>
      </c>
      <c r="K39" s="9">
        <v>11</v>
      </c>
      <c r="L39" s="9">
        <v>790</v>
      </c>
      <c r="M39" s="9">
        <f t="shared" si="0"/>
        <v>8690</v>
      </c>
    </row>
    <row r="40" spans="6:13" x14ac:dyDescent="0.3">
      <c r="F40" s="7">
        <v>44211</v>
      </c>
      <c r="G40" s="8" t="s">
        <v>8</v>
      </c>
      <c r="H40" s="8" t="s">
        <v>9</v>
      </c>
      <c r="I40" s="8" t="s">
        <v>20</v>
      </c>
      <c r="J40" s="8" t="s">
        <v>21</v>
      </c>
      <c r="K40" s="9">
        <v>4</v>
      </c>
      <c r="L40" s="9">
        <v>2001</v>
      </c>
      <c r="M40" s="9">
        <f t="shared" si="0"/>
        <v>8004</v>
      </c>
    </row>
    <row r="41" spans="6:13" x14ac:dyDescent="0.3">
      <c r="F41" s="7">
        <v>44211</v>
      </c>
      <c r="G41" s="8" t="s">
        <v>12</v>
      </c>
      <c r="H41" s="8" t="s">
        <v>13</v>
      </c>
      <c r="I41" s="8" t="s">
        <v>22</v>
      </c>
      <c r="J41" s="8" t="s">
        <v>21</v>
      </c>
      <c r="K41" s="9">
        <v>60</v>
      </c>
      <c r="L41" s="9">
        <v>75</v>
      </c>
      <c r="M41" s="9">
        <f t="shared" si="0"/>
        <v>4500</v>
      </c>
    </row>
    <row r="42" spans="6:13" x14ac:dyDescent="0.3">
      <c r="F42" s="7">
        <v>44211</v>
      </c>
      <c r="G42" s="8" t="s">
        <v>15</v>
      </c>
      <c r="H42" s="8" t="s">
        <v>13</v>
      </c>
      <c r="I42" s="8" t="s">
        <v>22</v>
      </c>
      <c r="J42" s="8" t="s">
        <v>21</v>
      </c>
      <c r="K42" s="9">
        <v>15</v>
      </c>
      <c r="L42" s="9">
        <v>315</v>
      </c>
      <c r="M42" s="9">
        <f t="shared" si="0"/>
        <v>4725</v>
      </c>
    </row>
    <row r="43" spans="6:13" x14ac:dyDescent="0.3">
      <c r="F43" s="7">
        <v>44211</v>
      </c>
      <c r="G43" s="8" t="s">
        <v>16</v>
      </c>
      <c r="H43" s="8" t="s">
        <v>9</v>
      </c>
      <c r="I43" s="8" t="s">
        <v>20</v>
      </c>
      <c r="J43" s="8" t="s">
        <v>21</v>
      </c>
      <c r="K43" s="9">
        <v>3</v>
      </c>
      <c r="L43" s="9">
        <v>1080</v>
      </c>
      <c r="M43" s="9">
        <f t="shared" si="0"/>
        <v>3240</v>
      </c>
    </row>
    <row r="44" spans="6:13" x14ac:dyDescent="0.3">
      <c r="F44" s="7">
        <v>44211</v>
      </c>
      <c r="G44" s="8" t="s">
        <v>17</v>
      </c>
      <c r="H44" s="8" t="s">
        <v>18</v>
      </c>
      <c r="I44" s="8" t="s">
        <v>22</v>
      </c>
      <c r="J44" s="8" t="s">
        <v>21</v>
      </c>
      <c r="K44" s="9">
        <v>5</v>
      </c>
      <c r="L44" s="9">
        <v>1575</v>
      </c>
      <c r="M44" s="9">
        <f t="shared" si="0"/>
        <v>7875</v>
      </c>
    </row>
    <row r="45" spans="6:13" x14ac:dyDescent="0.3">
      <c r="F45" s="7">
        <v>44211</v>
      </c>
      <c r="G45" s="8" t="s">
        <v>19</v>
      </c>
      <c r="H45" s="8" t="s">
        <v>18</v>
      </c>
      <c r="I45" s="8" t="s">
        <v>22</v>
      </c>
      <c r="J45" s="8" t="s">
        <v>21</v>
      </c>
      <c r="K45" s="9">
        <v>6</v>
      </c>
      <c r="L45" s="9">
        <v>790</v>
      </c>
      <c r="M45" s="9">
        <f t="shared" si="0"/>
        <v>4740</v>
      </c>
    </row>
    <row r="46" spans="6:13" x14ac:dyDescent="0.3">
      <c r="F46" s="7">
        <v>44211</v>
      </c>
      <c r="G46" s="8" t="s">
        <v>8</v>
      </c>
      <c r="H46" s="8" t="s">
        <v>9</v>
      </c>
      <c r="I46" s="8" t="s">
        <v>23</v>
      </c>
      <c r="J46" s="8" t="s">
        <v>24</v>
      </c>
      <c r="K46" s="9">
        <v>4</v>
      </c>
      <c r="L46" s="9">
        <v>2001</v>
      </c>
      <c r="M46" s="9">
        <f t="shared" si="0"/>
        <v>8004</v>
      </c>
    </row>
    <row r="47" spans="6:13" x14ac:dyDescent="0.3">
      <c r="F47" s="7">
        <v>44211</v>
      </c>
      <c r="G47" s="8" t="s">
        <v>12</v>
      </c>
      <c r="H47" s="8" t="s">
        <v>13</v>
      </c>
      <c r="I47" s="8" t="s">
        <v>23</v>
      </c>
      <c r="J47" s="8" t="s">
        <v>24</v>
      </c>
      <c r="K47" s="9">
        <v>33</v>
      </c>
      <c r="L47" s="9">
        <v>75</v>
      </c>
      <c r="M47" s="9">
        <f t="shared" si="0"/>
        <v>2475</v>
      </c>
    </row>
    <row r="48" spans="6:13" x14ac:dyDescent="0.3">
      <c r="F48" s="7">
        <v>44211</v>
      </c>
      <c r="G48" s="8" t="s">
        <v>15</v>
      </c>
      <c r="H48" s="8" t="s">
        <v>13</v>
      </c>
      <c r="I48" s="8" t="s">
        <v>23</v>
      </c>
      <c r="J48" s="8" t="s">
        <v>24</v>
      </c>
      <c r="K48" s="9">
        <v>5</v>
      </c>
      <c r="L48" s="9">
        <v>315</v>
      </c>
      <c r="M48" s="9">
        <f t="shared" si="0"/>
        <v>1575</v>
      </c>
    </row>
    <row r="49" spans="6:13" x14ac:dyDescent="0.3">
      <c r="F49" s="7">
        <v>44211</v>
      </c>
      <c r="G49" s="8" t="s">
        <v>16</v>
      </c>
      <c r="H49" s="8" t="s">
        <v>9</v>
      </c>
      <c r="I49" s="8" t="s">
        <v>23</v>
      </c>
      <c r="J49" s="8" t="s">
        <v>24</v>
      </c>
      <c r="K49" s="9">
        <v>1</v>
      </c>
      <c r="L49" s="9">
        <v>1080</v>
      </c>
      <c r="M49" s="9">
        <f t="shared" si="0"/>
        <v>1080</v>
      </c>
    </row>
    <row r="50" spans="6:13" x14ac:dyDescent="0.3">
      <c r="F50" s="7">
        <v>44211</v>
      </c>
      <c r="G50" s="8" t="s">
        <v>17</v>
      </c>
      <c r="H50" s="8" t="s">
        <v>18</v>
      </c>
      <c r="I50" s="8" t="s">
        <v>25</v>
      </c>
      <c r="J50" s="8" t="s">
        <v>24</v>
      </c>
      <c r="K50" s="9">
        <v>5</v>
      </c>
      <c r="L50" s="9">
        <v>1575</v>
      </c>
      <c r="M50" s="9">
        <f t="shared" si="0"/>
        <v>7875</v>
      </c>
    </row>
    <row r="51" spans="6:13" x14ac:dyDescent="0.3">
      <c r="F51" s="7">
        <v>44211</v>
      </c>
      <c r="G51" s="8" t="s">
        <v>19</v>
      </c>
      <c r="H51" s="8" t="s">
        <v>18</v>
      </c>
      <c r="I51" s="8" t="s">
        <v>25</v>
      </c>
      <c r="J51" s="8" t="s">
        <v>24</v>
      </c>
      <c r="K51" s="9">
        <v>3</v>
      </c>
      <c r="L51" s="9">
        <v>790</v>
      </c>
      <c r="M51" s="9">
        <f t="shared" si="0"/>
        <v>2370</v>
      </c>
    </row>
    <row r="52" spans="6:13" x14ac:dyDescent="0.3">
      <c r="F52" s="7">
        <v>44211</v>
      </c>
      <c r="G52" s="8" t="s">
        <v>8</v>
      </c>
      <c r="H52" s="8" t="s">
        <v>9</v>
      </c>
      <c r="I52" s="8" t="s">
        <v>26</v>
      </c>
      <c r="J52" s="8" t="s">
        <v>27</v>
      </c>
      <c r="K52" s="9">
        <v>3</v>
      </c>
      <c r="L52" s="9">
        <v>2001</v>
      </c>
      <c r="M52" s="9">
        <f t="shared" si="0"/>
        <v>6003</v>
      </c>
    </row>
    <row r="53" spans="6:13" x14ac:dyDescent="0.3">
      <c r="F53" s="7">
        <v>44211</v>
      </c>
      <c r="G53" s="8" t="s">
        <v>12</v>
      </c>
      <c r="H53" s="8" t="s">
        <v>13</v>
      </c>
      <c r="I53" s="8" t="s">
        <v>26</v>
      </c>
      <c r="J53" s="8" t="s">
        <v>27</v>
      </c>
      <c r="K53" s="9">
        <v>45</v>
      </c>
      <c r="L53" s="9">
        <v>75</v>
      </c>
      <c r="M53" s="9">
        <f t="shared" si="0"/>
        <v>3375</v>
      </c>
    </row>
    <row r="54" spans="6:13" x14ac:dyDescent="0.3">
      <c r="F54" s="7">
        <v>44211</v>
      </c>
      <c r="G54" s="8" t="s">
        <v>15</v>
      </c>
      <c r="H54" s="8" t="s">
        <v>13</v>
      </c>
      <c r="I54" s="8" t="s">
        <v>26</v>
      </c>
      <c r="J54" s="8" t="s">
        <v>27</v>
      </c>
      <c r="K54" s="9">
        <v>8</v>
      </c>
      <c r="L54" s="9">
        <v>315</v>
      </c>
      <c r="M54" s="9">
        <f t="shared" si="0"/>
        <v>2520</v>
      </c>
    </row>
    <row r="55" spans="6:13" x14ac:dyDescent="0.3">
      <c r="F55" s="7">
        <v>44211</v>
      </c>
      <c r="G55" s="8" t="s">
        <v>16</v>
      </c>
      <c r="H55" s="8" t="s">
        <v>9</v>
      </c>
      <c r="I55" s="8" t="s">
        <v>26</v>
      </c>
      <c r="J55" s="8" t="s">
        <v>27</v>
      </c>
      <c r="K55" s="9">
        <v>3</v>
      </c>
      <c r="L55" s="9">
        <v>1080</v>
      </c>
      <c r="M55" s="9">
        <f t="shared" si="0"/>
        <v>3240</v>
      </c>
    </row>
    <row r="56" spans="6:13" x14ac:dyDescent="0.3">
      <c r="F56" s="7">
        <v>44211</v>
      </c>
      <c r="G56" s="8" t="s">
        <v>17</v>
      </c>
      <c r="H56" s="8" t="s">
        <v>18</v>
      </c>
      <c r="I56" s="8" t="s">
        <v>28</v>
      </c>
      <c r="J56" s="8" t="s">
        <v>27</v>
      </c>
      <c r="K56" s="9">
        <v>6</v>
      </c>
      <c r="L56" s="9">
        <v>1575</v>
      </c>
      <c r="M56" s="9">
        <f t="shared" si="0"/>
        <v>9450</v>
      </c>
    </row>
    <row r="57" spans="6:13" x14ac:dyDescent="0.3">
      <c r="F57" s="7">
        <v>44211</v>
      </c>
      <c r="G57" s="8" t="s">
        <v>19</v>
      </c>
      <c r="H57" s="8" t="s">
        <v>18</v>
      </c>
      <c r="I57" s="8" t="s">
        <v>28</v>
      </c>
      <c r="J57" s="8" t="s">
        <v>27</v>
      </c>
      <c r="K57" s="9">
        <v>5</v>
      </c>
      <c r="L57" s="9">
        <v>790</v>
      </c>
      <c r="M57" s="9">
        <f t="shared" si="0"/>
        <v>3950</v>
      </c>
    </row>
    <row r="58" spans="6:13" x14ac:dyDescent="0.3">
      <c r="F58" s="7">
        <v>44211</v>
      </c>
      <c r="G58" s="8" t="s">
        <v>8</v>
      </c>
      <c r="H58" s="8" t="s">
        <v>9</v>
      </c>
      <c r="I58" s="8" t="s">
        <v>29</v>
      </c>
      <c r="J58" s="8" t="s">
        <v>30</v>
      </c>
      <c r="K58" s="9">
        <v>3</v>
      </c>
      <c r="L58" s="9">
        <v>2001</v>
      </c>
      <c r="M58" s="9">
        <f t="shared" si="0"/>
        <v>6003</v>
      </c>
    </row>
    <row r="59" spans="6:13" x14ac:dyDescent="0.3">
      <c r="F59" s="7">
        <v>44211</v>
      </c>
      <c r="G59" s="8" t="s">
        <v>12</v>
      </c>
      <c r="H59" s="8" t="s">
        <v>13</v>
      </c>
      <c r="I59" s="8" t="s">
        <v>31</v>
      </c>
      <c r="J59" s="8" t="s">
        <v>30</v>
      </c>
      <c r="K59" s="9">
        <v>39</v>
      </c>
      <c r="L59" s="9">
        <v>75</v>
      </c>
      <c r="M59" s="9">
        <f t="shared" si="0"/>
        <v>2925</v>
      </c>
    </row>
    <row r="60" spans="6:13" x14ac:dyDescent="0.3">
      <c r="F60" s="7">
        <v>44211</v>
      </c>
      <c r="G60" s="8" t="s">
        <v>15</v>
      </c>
      <c r="H60" s="8" t="s">
        <v>13</v>
      </c>
      <c r="I60" s="8" t="s">
        <v>31</v>
      </c>
      <c r="J60" s="8" t="s">
        <v>30</v>
      </c>
      <c r="K60" s="9">
        <v>7</v>
      </c>
      <c r="L60" s="9">
        <v>315</v>
      </c>
      <c r="M60" s="9">
        <f t="shared" si="0"/>
        <v>2205</v>
      </c>
    </row>
    <row r="61" spans="6:13" x14ac:dyDescent="0.3">
      <c r="F61" s="7">
        <v>44211</v>
      </c>
      <c r="G61" s="8" t="s">
        <v>16</v>
      </c>
      <c r="H61" s="8" t="s">
        <v>9</v>
      </c>
      <c r="I61" s="8" t="s">
        <v>29</v>
      </c>
      <c r="J61" s="8" t="s">
        <v>30</v>
      </c>
      <c r="K61" s="9">
        <v>6</v>
      </c>
      <c r="L61" s="9">
        <v>1080</v>
      </c>
      <c r="M61" s="9">
        <f t="shared" si="0"/>
        <v>6480</v>
      </c>
    </row>
    <row r="62" spans="6:13" x14ac:dyDescent="0.3">
      <c r="F62" s="7">
        <v>44211</v>
      </c>
      <c r="G62" s="8" t="s">
        <v>17</v>
      </c>
      <c r="H62" s="8" t="s">
        <v>18</v>
      </c>
      <c r="I62" s="8" t="s">
        <v>31</v>
      </c>
      <c r="J62" s="8" t="s">
        <v>30</v>
      </c>
      <c r="K62" s="9">
        <v>6</v>
      </c>
      <c r="L62" s="9">
        <v>1575</v>
      </c>
      <c r="M62" s="9">
        <f t="shared" si="0"/>
        <v>9450</v>
      </c>
    </row>
    <row r="63" spans="6:13" x14ac:dyDescent="0.3">
      <c r="F63" s="7">
        <v>44211</v>
      </c>
      <c r="G63" s="8" t="s">
        <v>19</v>
      </c>
      <c r="H63" s="8" t="s">
        <v>18</v>
      </c>
      <c r="I63" s="8" t="s">
        <v>31</v>
      </c>
      <c r="J63" s="8" t="s">
        <v>30</v>
      </c>
      <c r="K63" s="9">
        <v>7</v>
      </c>
      <c r="L63" s="9">
        <v>790</v>
      </c>
      <c r="M63" s="9">
        <f t="shared" si="0"/>
        <v>5530</v>
      </c>
    </row>
    <row r="64" spans="6:13" x14ac:dyDescent="0.3">
      <c r="F64" s="7">
        <v>44218</v>
      </c>
      <c r="G64" s="8" t="s">
        <v>8</v>
      </c>
      <c r="H64" s="8" t="s">
        <v>9</v>
      </c>
      <c r="I64" s="8" t="s">
        <v>10</v>
      </c>
      <c r="J64" s="8" t="s">
        <v>11</v>
      </c>
      <c r="K64" s="9">
        <v>3</v>
      </c>
      <c r="L64" s="9">
        <v>2001</v>
      </c>
      <c r="M64" s="9">
        <f t="shared" si="0"/>
        <v>6003</v>
      </c>
    </row>
    <row r="65" spans="6:13" x14ac:dyDescent="0.3">
      <c r="F65" s="7">
        <v>44218</v>
      </c>
      <c r="G65" s="8" t="s">
        <v>12</v>
      </c>
      <c r="H65" s="8" t="s">
        <v>13</v>
      </c>
      <c r="I65" s="8" t="s">
        <v>14</v>
      </c>
      <c r="J65" s="8" t="s">
        <v>11</v>
      </c>
      <c r="K65" s="9">
        <v>51</v>
      </c>
      <c r="L65" s="9">
        <v>75</v>
      </c>
      <c r="M65" s="9">
        <f t="shared" si="0"/>
        <v>3825</v>
      </c>
    </row>
    <row r="66" spans="6:13" x14ac:dyDescent="0.3">
      <c r="F66" s="7">
        <v>44218</v>
      </c>
      <c r="G66" s="8" t="s">
        <v>15</v>
      </c>
      <c r="H66" s="8" t="s">
        <v>13</v>
      </c>
      <c r="I66" s="8" t="s">
        <v>14</v>
      </c>
      <c r="J66" s="8" t="s">
        <v>11</v>
      </c>
      <c r="K66" s="9">
        <v>5</v>
      </c>
      <c r="L66" s="9">
        <v>315</v>
      </c>
      <c r="M66" s="9">
        <f t="shared" si="0"/>
        <v>1575</v>
      </c>
    </row>
    <row r="67" spans="6:13" x14ac:dyDescent="0.3">
      <c r="F67" s="7">
        <v>44218</v>
      </c>
      <c r="G67" s="8" t="s">
        <v>16</v>
      </c>
      <c r="H67" s="8" t="s">
        <v>9</v>
      </c>
      <c r="I67" s="8" t="s">
        <v>10</v>
      </c>
      <c r="J67" s="8" t="s">
        <v>11</v>
      </c>
      <c r="K67" s="9">
        <v>6</v>
      </c>
      <c r="L67" s="9">
        <v>1080</v>
      </c>
      <c r="M67" s="9">
        <f t="shared" si="0"/>
        <v>6480</v>
      </c>
    </row>
    <row r="68" spans="6:13" x14ac:dyDescent="0.3">
      <c r="F68" s="7">
        <v>44218</v>
      </c>
      <c r="G68" s="8" t="s">
        <v>17</v>
      </c>
      <c r="H68" s="8" t="s">
        <v>18</v>
      </c>
      <c r="I68" s="8" t="s">
        <v>10</v>
      </c>
      <c r="J68" s="8" t="s">
        <v>11</v>
      </c>
      <c r="K68" s="9">
        <v>3</v>
      </c>
      <c r="L68" s="9">
        <v>1575</v>
      </c>
      <c r="M68" s="9">
        <f t="shared" ref="M68:M131" si="1">K68*L68</f>
        <v>4725</v>
      </c>
    </row>
    <row r="69" spans="6:13" x14ac:dyDescent="0.3">
      <c r="F69" s="7">
        <v>44218</v>
      </c>
      <c r="G69" s="8" t="s">
        <v>19</v>
      </c>
      <c r="H69" s="8" t="s">
        <v>18</v>
      </c>
      <c r="I69" s="8" t="s">
        <v>10</v>
      </c>
      <c r="J69" s="8" t="s">
        <v>11</v>
      </c>
      <c r="K69" s="9">
        <v>5</v>
      </c>
      <c r="L69" s="9">
        <v>790</v>
      </c>
      <c r="M69" s="9">
        <f t="shared" si="1"/>
        <v>3950</v>
      </c>
    </row>
    <row r="70" spans="6:13" x14ac:dyDescent="0.3">
      <c r="F70" s="7">
        <v>44218</v>
      </c>
      <c r="G70" s="8" t="s">
        <v>8</v>
      </c>
      <c r="H70" s="8" t="s">
        <v>9</v>
      </c>
      <c r="I70" s="8" t="s">
        <v>20</v>
      </c>
      <c r="J70" s="8" t="s">
        <v>21</v>
      </c>
      <c r="K70" s="9">
        <v>5</v>
      </c>
      <c r="L70" s="9">
        <v>2001</v>
      </c>
      <c r="M70" s="9">
        <f t="shared" si="1"/>
        <v>10005</v>
      </c>
    </row>
    <row r="71" spans="6:13" x14ac:dyDescent="0.3">
      <c r="F71" s="7">
        <v>44218</v>
      </c>
      <c r="G71" s="8" t="s">
        <v>12</v>
      </c>
      <c r="H71" s="8" t="s">
        <v>13</v>
      </c>
      <c r="I71" s="8" t="s">
        <v>22</v>
      </c>
      <c r="J71" s="8" t="s">
        <v>21</v>
      </c>
      <c r="K71" s="9">
        <v>55</v>
      </c>
      <c r="L71" s="9">
        <v>75</v>
      </c>
      <c r="M71" s="9">
        <f t="shared" si="1"/>
        <v>4125</v>
      </c>
    </row>
    <row r="72" spans="6:13" x14ac:dyDescent="0.3">
      <c r="F72" s="7">
        <v>44218</v>
      </c>
      <c r="G72" s="8" t="s">
        <v>15</v>
      </c>
      <c r="H72" s="8" t="s">
        <v>13</v>
      </c>
      <c r="I72" s="8" t="s">
        <v>22</v>
      </c>
      <c r="J72" s="8" t="s">
        <v>21</v>
      </c>
      <c r="K72" s="9">
        <v>10</v>
      </c>
      <c r="L72" s="9">
        <v>315</v>
      </c>
      <c r="M72" s="9">
        <f t="shared" si="1"/>
        <v>3150</v>
      </c>
    </row>
    <row r="73" spans="6:13" x14ac:dyDescent="0.3">
      <c r="F73" s="7">
        <v>44218</v>
      </c>
      <c r="G73" s="8" t="s">
        <v>16</v>
      </c>
      <c r="H73" s="8" t="s">
        <v>9</v>
      </c>
      <c r="I73" s="8" t="s">
        <v>20</v>
      </c>
      <c r="J73" s="8" t="s">
        <v>21</v>
      </c>
      <c r="K73" s="9">
        <v>3</v>
      </c>
      <c r="L73" s="9">
        <v>1080</v>
      </c>
      <c r="M73" s="9">
        <f t="shared" si="1"/>
        <v>3240</v>
      </c>
    </row>
    <row r="74" spans="6:13" x14ac:dyDescent="0.3">
      <c r="F74" s="7">
        <v>44218</v>
      </c>
      <c r="G74" s="8" t="s">
        <v>17</v>
      </c>
      <c r="H74" s="8" t="s">
        <v>18</v>
      </c>
      <c r="I74" s="8" t="s">
        <v>22</v>
      </c>
      <c r="J74" s="8" t="s">
        <v>21</v>
      </c>
      <c r="K74" s="9">
        <v>3</v>
      </c>
      <c r="L74" s="9">
        <v>1575</v>
      </c>
      <c r="M74" s="9">
        <f t="shared" si="1"/>
        <v>4725</v>
      </c>
    </row>
    <row r="75" spans="6:13" x14ac:dyDescent="0.3">
      <c r="F75" s="7">
        <v>44218</v>
      </c>
      <c r="G75" s="8" t="s">
        <v>19</v>
      </c>
      <c r="H75" s="8" t="s">
        <v>18</v>
      </c>
      <c r="I75" s="8" t="s">
        <v>22</v>
      </c>
      <c r="J75" s="8" t="s">
        <v>21</v>
      </c>
      <c r="K75" s="9">
        <v>8</v>
      </c>
      <c r="L75" s="9">
        <v>790</v>
      </c>
      <c r="M75" s="9">
        <f t="shared" si="1"/>
        <v>6320</v>
      </c>
    </row>
    <row r="76" spans="6:13" x14ac:dyDescent="0.3">
      <c r="F76" s="7">
        <v>44218</v>
      </c>
      <c r="G76" s="8" t="s">
        <v>8</v>
      </c>
      <c r="H76" s="8" t="s">
        <v>9</v>
      </c>
      <c r="I76" s="8" t="s">
        <v>23</v>
      </c>
      <c r="J76" s="8" t="s">
        <v>24</v>
      </c>
      <c r="K76" s="9">
        <v>4</v>
      </c>
      <c r="L76" s="9">
        <v>2001</v>
      </c>
      <c r="M76" s="9">
        <f t="shared" si="1"/>
        <v>8004</v>
      </c>
    </row>
    <row r="77" spans="6:13" x14ac:dyDescent="0.3">
      <c r="F77" s="7">
        <v>44218</v>
      </c>
      <c r="G77" s="8" t="s">
        <v>12</v>
      </c>
      <c r="H77" s="8" t="s">
        <v>13</v>
      </c>
      <c r="I77" s="8" t="s">
        <v>23</v>
      </c>
      <c r="J77" s="8" t="s">
        <v>24</v>
      </c>
      <c r="K77" s="9">
        <v>31</v>
      </c>
      <c r="L77" s="9">
        <v>75</v>
      </c>
      <c r="M77" s="9">
        <f t="shared" si="1"/>
        <v>2325</v>
      </c>
    </row>
    <row r="78" spans="6:13" x14ac:dyDescent="0.3">
      <c r="F78" s="7">
        <v>44218</v>
      </c>
      <c r="G78" s="8" t="s">
        <v>15</v>
      </c>
      <c r="H78" s="8" t="s">
        <v>13</v>
      </c>
      <c r="I78" s="8" t="s">
        <v>23</v>
      </c>
      <c r="J78" s="8" t="s">
        <v>24</v>
      </c>
      <c r="K78" s="9">
        <v>4</v>
      </c>
      <c r="L78" s="9">
        <v>315</v>
      </c>
      <c r="M78" s="9">
        <f t="shared" si="1"/>
        <v>1260</v>
      </c>
    </row>
    <row r="79" spans="6:13" x14ac:dyDescent="0.3">
      <c r="F79" s="7">
        <v>44218</v>
      </c>
      <c r="G79" s="8" t="s">
        <v>16</v>
      </c>
      <c r="H79" s="8" t="s">
        <v>9</v>
      </c>
      <c r="I79" s="8" t="s">
        <v>23</v>
      </c>
      <c r="J79" s="8" t="s">
        <v>24</v>
      </c>
      <c r="K79" s="9">
        <v>3</v>
      </c>
      <c r="L79" s="9">
        <v>1080</v>
      </c>
      <c r="M79" s="9">
        <f t="shared" si="1"/>
        <v>3240</v>
      </c>
    </row>
    <row r="80" spans="6:13" x14ac:dyDescent="0.3">
      <c r="F80" s="7">
        <v>44218</v>
      </c>
      <c r="G80" s="8" t="s">
        <v>17</v>
      </c>
      <c r="H80" s="8" t="s">
        <v>18</v>
      </c>
      <c r="I80" s="8" t="s">
        <v>25</v>
      </c>
      <c r="J80" s="8" t="s">
        <v>24</v>
      </c>
      <c r="K80" s="9">
        <v>3</v>
      </c>
      <c r="L80" s="9">
        <v>1575</v>
      </c>
      <c r="M80" s="9">
        <f t="shared" si="1"/>
        <v>4725</v>
      </c>
    </row>
    <row r="81" spans="6:13" x14ac:dyDescent="0.3">
      <c r="F81" s="7">
        <v>44218</v>
      </c>
      <c r="G81" s="8" t="s">
        <v>19</v>
      </c>
      <c r="H81" s="8" t="s">
        <v>18</v>
      </c>
      <c r="I81" s="8" t="s">
        <v>25</v>
      </c>
      <c r="J81" s="8" t="s">
        <v>24</v>
      </c>
      <c r="K81" s="9">
        <v>10</v>
      </c>
      <c r="L81" s="9">
        <v>790</v>
      </c>
      <c r="M81" s="9">
        <f t="shared" si="1"/>
        <v>7900</v>
      </c>
    </row>
    <row r="82" spans="6:13" x14ac:dyDescent="0.3">
      <c r="F82" s="7">
        <v>44218</v>
      </c>
      <c r="G82" s="8" t="s">
        <v>8</v>
      </c>
      <c r="H82" s="8" t="s">
        <v>9</v>
      </c>
      <c r="I82" s="8" t="s">
        <v>26</v>
      </c>
      <c r="J82" s="8" t="s">
        <v>27</v>
      </c>
      <c r="K82" s="9">
        <v>5</v>
      </c>
      <c r="L82" s="9">
        <v>2001</v>
      </c>
      <c r="M82" s="9">
        <f t="shared" si="1"/>
        <v>10005</v>
      </c>
    </row>
    <row r="83" spans="6:13" x14ac:dyDescent="0.3">
      <c r="F83" s="7">
        <v>44218</v>
      </c>
      <c r="G83" s="8" t="s">
        <v>12</v>
      </c>
      <c r="H83" s="8" t="s">
        <v>13</v>
      </c>
      <c r="I83" s="8" t="s">
        <v>26</v>
      </c>
      <c r="J83" s="8" t="s">
        <v>27</v>
      </c>
      <c r="K83" s="9">
        <v>56</v>
      </c>
      <c r="L83" s="9">
        <v>75</v>
      </c>
      <c r="M83" s="9">
        <f t="shared" si="1"/>
        <v>4200</v>
      </c>
    </row>
    <row r="84" spans="6:13" x14ac:dyDescent="0.3">
      <c r="F84" s="7">
        <v>44218</v>
      </c>
      <c r="G84" s="8" t="s">
        <v>15</v>
      </c>
      <c r="H84" s="8" t="s">
        <v>13</v>
      </c>
      <c r="I84" s="8" t="s">
        <v>26</v>
      </c>
      <c r="J84" s="8" t="s">
        <v>27</v>
      </c>
      <c r="K84" s="9">
        <v>15</v>
      </c>
      <c r="L84" s="9">
        <v>315</v>
      </c>
      <c r="M84" s="9">
        <f t="shared" si="1"/>
        <v>4725</v>
      </c>
    </row>
    <row r="85" spans="6:13" x14ac:dyDescent="0.3">
      <c r="F85" s="7">
        <v>44218</v>
      </c>
      <c r="G85" s="8" t="s">
        <v>16</v>
      </c>
      <c r="H85" s="8" t="s">
        <v>9</v>
      </c>
      <c r="I85" s="8" t="s">
        <v>26</v>
      </c>
      <c r="J85" s="8" t="s">
        <v>27</v>
      </c>
      <c r="K85" s="9">
        <v>2</v>
      </c>
      <c r="L85" s="9">
        <v>1080</v>
      </c>
      <c r="M85" s="9">
        <f t="shared" si="1"/>
        <v>2160</v>
      </c>
    </row>
    <row r="86" spans="6:13" x14ac:dyDescent="0.3">
      <c r="F86" s="7">
        <v>44218</v>
      </c>
      <c r="G86" s="8" t="s">
        <v>17</v>
      </c>
      <c r="H86" s="8" t="s">
        <v>18</v>
      </c>
      <c r="I86" s="8" t="s">
        <v>28</v>
      </c>
      <c r="J86" s="8" t="s">
        <v>27</v>
      </c>
      <c r="K86" s="9">
        <v>5</v>
      </c>
      <c r="L86" s="9">
        <v>1575</v>
      </c>
      <c r="M86" s="9">
        <f t="shared" si="1"/>
        <v>7875</v>
      </c>
    </row>
    <row r="87" spans="6:13" x14ac:dyDescent="0.3">
      <c r="F87" s="7">
        <v>44218</v>
      </c>
      <c r="G87" s="8" t="s">
        <v>19</v>
      </c>
      <c r="H87" s="8" t="s">
        <v>18</v>
      </c>
      <c r="I87" s="8" t="s">
        <v>28</v>
      </c>
      <c r="J87" s="8" t="s">
        <v>27</v>
      </c>
      <c r="K87" s="9">
        <v>7</v>
      </c>
      <c r="L87" s="9">
        <v>790</v>
      </c>
      <c r="M87" s="9">
        <f t="shared" si="1"/>
        <v>5530</v>
      </c>
    </row>
    <row r="88" spans="6:13" x14ac:dyDescent="0.3">
      <c r="F88" s="7">
        <v>44218</v>
      </c>
      <c r="G88" s="8" t="s">
        <v>8</v>
      </c>
      <c r="H88" s="8" t="s">
        <v>9</v>
      </c>
      <c r="I88" s="8" t="s">
        <v>29</v>
      </c>
      <c r="J88" s="8" t="s">
        <v>30</v>
      </c>
      <c r="K88" s="9">
        <v>3</v>
      </c>
      <c r="L88" s="9">
        <v>2001</v>
      </c>
      <c r="M88" s="9">
        <f t="shared" si="1"/>
        <v>6003</v>
      </c>
    </row>
    <row r="89" spans="6:13" x14ac:dyDescent="0.3">
      <c r="F89" s="7">
        <v>44218</v>
      </c>
      <c r="G89" s="8" t="s">
        <v>12</v>
      </c>
      <c r="H89" s="8" t="s">
        <v>13</v>
      </c>
      <c r="I89" s="8" t="s">
        <v>31</v>
      </c>
      <c r="J89" s="8" t="s">
        <v>30</v>
      </c>
      <c r="K89" s="9">
        <v>30</v>
      </c>
      <c r="L89" s="9">
        <v>75</v>
      </c>
      <c r="M89" s="9">
        <f t="shared" si="1"/>
        <v>2250</v>
      </c>
    </row>
    <row r="90" spans="6:13" x14ac:dyDescent="0.3">
      <c r="F90" s="7">
        <v>44218</v>
      </c>
      <c r="G90" s="8" t="s">
        <v>15</v>
      </c>
      <c r="H90" s="8" t="s">
        <v>13</v>
      </c>
      <c r="I90" s="8" t="s">
        <v>31</v>
      </c>
      <c r="J90" s="8" t="s">
        <v>30</v>
      </c>
      <c r="K90" s="9">
        <v>10</v>
      </c>
      <c r="L90" s="9">
        <v>315</v>
      </c>
      <c r="M90" s="9">
        <f t="shared" si="1"/>
        <v>3150</v>
      </c>
    </row>
    <row r="91" spans="6:13" x14ac:dyDescent="0.3">
      <c r="F91" s="7">
        <v>44218</v>
      </c>
      <c r="G91" s="8" t="s">
        <v>16</v>
      </c>
      <c r="H91" s="8" t="s">
        <v>9</v>
      </c>
      <c r="I91" s="8" t="s">
        <v>29</v>
      </c>
      <c r="J91" s="8" t="s">
        <v>30</v>
      </c>
      <c r="K91" s="9">
        <v>5</v>
      </c>
      <c r="L91" s="9">
        <v>1080</v>
      </c>
      <c r="M91" s="9">
        <f t="shared" si="1"/>
        <v>5400</v>
      </c>
    </row>
    <row r="92" spans="6:13" x14ac:dyDescent="0.3">
      <c r="F92" s="7">
        <v>44218</v>
      </c>
      <c r="G92" s="8" t="s">
        <v>17</v>
      </c>
      <c r="H92" s="8" t="s">
        <v>18</v>
      </c>
      <c r="I92" s="8" t="s">
        <v>31</v>
      </c>
      <c r="J92" s="8" t="s">
        <v>30</v>
      </c>
      <c r="K92" s="9">
        <v>5</v>
      </c>
      <c r="L92" s="9">
        <v>1575</v>
      </c>
      <c r="M92" s="9">
        <f t="shared" si="1"/>
        <v>7875</v>
      </c>
    </row>
    <row r="93" spans="6:13" x14ac:dyDescent="0.3">
      <c r="F93" s="7">
        <v>44218</v>
      </c>
      <c r="G93" s="8" t="s">
        <v>19</v>
      </c>
      <c r="H93" s="8" t="s">
        <v>18</v>
      </c>
      <c r="I93" s="8" t="s">
        <v>31</v>
      </c>
      <c r="J93" s="8" t="s">
        <v>30</v>
      </c>
      <c r="K93" s="9">
        <v>6</v>
      </c>
      <c r="L93" s="9">
        <v>790</v>
      </c>
      <c r="M93" s="9">
        <f t="shared" si="1"/>
        <v>4740</v>
      </c>
    </row>
    <row r="94" spans="6:13" x14ac:dyDescent="0.3">
      <c r="F94" s="7">
        <v>44225</v>
      </c>
      <c r="G94" s="8" t="s">
        <v>8</v>
      </c>
      <c r="H94" s="8" t="s">
        <v>9</v>
      </c>
      <c r="I94" s="8" t="s">
        <v>10</v>
      </c>
      <c r="J94" s="8" t="s">
        <v>11</v>
      </c>
      <c r="K94" s="9">
        <v>4</v>
      </c>
      <c r="L94" s="9">
        <v>2001</v>
      </c>
      <c r="M94" s="9">
        <f t="shared" si="1"/>
        <v>8004</v>
      </c>
    </row>
    <row r="95" spans="6:13" x14ac:dyDescent="0.3">
      <c r="F95" s="7">
        <v>44225</v>
      </c>
      <c r="G95" s="8" t="s">
        <v>12</v>
      </c>
      <c r="H95" s="8" t="s">
        <v>13</v>
      </c>
      <c r="I95" s="8" t="s">
        <v>14</v>
      </c>
      <c r="J95" s="8" t="s">
        <v>11</v>
      </c>
      <c r="K95" s="9">
        <v>56</v>
      </c>
      <c r="L95" s="9">
        <v>75</v>
      </c>
      <c r="M95" s="9">
        <f t="shared" si="1"/>
        <v>4200</v>
      </c>
    </row>
    <row r="96" spans="6:13" x14ac:dyDescent="0.3">
      <c r="F96" s="7">
        <v>44225</v>
      </c>
      <c r="G96" s="8" t="s">
        <v>15</v>
      </c>
      <c r="H96" s="8" t="s">
        <v>13</v>
      </c>
      <c r="I96" s="8" t="s">
        <v>14</v>
      </c>
      <c r="J96" s="8" t="s">
        <v>11</v>
      </c>
      <c r="K96" s="9">
        <v>13</v>
      </c>
      <c r="L96" s="9">
        <v>315</v>
      </c>
      <c r="M96" s="9">
        <f t="shared" si="1"/>
        <v>4095</v>
      </c>
    </row>
    <row r="97" spans="6:13" x14ac:dyDescent="0.3">
      <c r="F97" s="7">
        <v>44225</v>
      </c>
      <c r="G97" s="8" t="s">
        <v>16</v>
      </c>
      <c r="H97" s="8" t="s">
        <v>9</v>
      </c>
      <c r="I97" s="8" t="s">
        <v>10</v>
      </c>
      <c r="J97" s="8" t="s">
        <v>11</v>
      </c>
      <c r="K97" s="9">
        <v>5</v>
      </c>
      <c r="L97" s="9">
        <v>1080</v>
      </c>
      <c r="M97" s="9">
        <f t="shared" si="1"/>
        <v>5400</v>
      </c>
    </row>
    <row r="98" spans="6:13" x14ac:dyDescent="0.3">
      <c r="F98" s="7">
        <v>44225</v>
      </c>
      <c r="G98" s="8" t="s">
        <v>17</v>
      </c>
      <c r="H98" s="8" t="s">
        <v>18</v>
      </c>
      <c r="I98" s="8" t="s">
        <v>10</v>
      </c>
      <c r="J98" s="8" t="s">
        <v>11</v>
      </c>
      <c r="K98" s="9">
        <v>4</v>
      </c>
      <c r="L98" s="9">
        <v>1575</v>
      </c>
      <c r="M98" s="9">
        <f t="shared" si="1"/>
        <v>6300</v>
      </c>
    </row>
    <row r="99" spans="6:13" x14ac:dyDescent="0.3">
      <c r="F99" s="7">
        <v>44225</v>
      </c>
      <c r="G99" s="8" t="s">
        <v>19</v>
      </c>
      <c r="H99" s="8" t="s">
        <v>18</v>
      </c>
      <c r="I99" s="8" t="s">
        <v>10</v>
      </c>
      <c r="J99" s="8" t="s">
        <v>11</v>
      </c>
      <c r="K99" s="9">
        <v>8</v>
      </c>
      <c r="L99" s="9">
        <v>790</v>
      </c>
      <c r="M99" s="9">
        <f t="shared" si="1"/>
        <v>6320</v>
      </c>
    </row>
    <row r="100" spans="6:13" x14ac:dyDescent="0.3">
      <c r="F100" s="7">
        <v>44225</v>
      </c>
      <c r="G100" s="8" t="s">
        <v>8</v>
      </c>
      <c r="H100" s="8" t="s">
        <v>9</v>
      </c>
      <c r="I100" s="8" t="s">
        <v>20</v>
      </c>
      <c r="J100" s="8" t="s">
        <v>21</v>
      </c>
      <c r="K100" s="9">
        <v>3</v>
      </c>
      <c r="L100" s="9">
        <v>2001</v>
      </c>
      <c r="M100" s="9">
        <f t="shared" si="1"/>
        <v>6003</v>
      </c>
    </row>
    <row r="101" spans="6:13" x14ac:dyDescent="0.3">
      <c r="F101" s="7">
        <v>44225</v>
      </c>
      <c r="G101" s="8" t="s">
        <v>12</v>
      </c>
      <c r="H101" s="8" t="s">
        <v>13</v>
      </c>
      <c r="I101" s="8" t="s">
        <v>22</v>
      </c>
      <c r="J101" s="8" t="s">
        <v>21</v>
      </c>
      <c r="K101" s="9">
        <v>56</v>
      </c>
      <c r="L101" s="9">
        <v>75</v>
      </c>
      <c r="M101" s="9">
        <f t="shared" si="1"/>
        <v>4200</v>
      </c>
    </row>
    <row r="102" spans="6:13" x14ac:dyDescent="0.3">
      <c r="F102" s="7">
        <v>44225</v>
      </c>
      <c r="G102" s="8" t="s">
        <v>15</v>
      </c>
      <c r="H102" s="8" t="s">
        <v>13</v>
      </c>
      <c r="I102" s="8" t="s">
        <v>22</v>
      </c>
      <c r="J102" s="8" t="s">
        <v>21</v>
      </c>
      <c r="K102" s="9">
        <v>8</v>
      </c>
      <c r="L102" s="9">
        <v>315</v>
      </c>
      <c r="M102" s="9">
        <f t="shared" si="1"/>
        <v>2520</v>
      </c>
    </row>
    <row r="103" spans="6:13" x14ac:dyDescent="0.3">
      <c r="F103" s="7">
        <v>44225</v>
      </c>
      <c r="G103" s="8" t="s">
        <v>16</v>
      </c>
      <c r="H103" s="8" t="s">
        <v>9</v>
      </c>
      <c r="I103" s="8" t="s">
        <v>20</v>
      </c>
      <c r="J103" s="8" t="s">
        <v>21</v>
      </c>
      <c r="K103" s="9">
        <v>4</v>
      </c>
      <c r="L103" s="9">
        <v>1080</v>
      </c>
      <c r="M103" s="9">
        <f t="shared" si="1"/>
        <v>4320</v>
      </c>
    </row>
    <row r="104" spans="6:13" x14ac:dyDescent="0.3">
      <c r="F104" s="7">
        <v>44225</v>
      </c>
      <c r="G104" s="8" t="s">
        <v>17</v>
      </c>
      <c r="H104" s="8" t="s">
        <v>18</v>
      </c>
      <c r="I104" s="8" t="s">
        <v>22</v>
      </c>
      <c r="J104" s="8" t="s">
        <v>21</v>
      </c>
      <c r="K104" s="9">
        <v>6</v>
      </c>
      <c r="L104" s="9">
        <v>1575</v>
      </c>
      <c r="M104" s="9">
        <f t="shared" si="1"/>
        <v>9450</v>
      </c>
    </row>
    <row r="105" spans="6:13" x14ac:dyDescent="0.3">
      <c r="F105" s="7">
        <v>44225</v>
      </c>
      <c r="G105" s="8" t="s">
        <v>19</v>
      </c>
      <c r="H105" s="8" t="s">
        <v>18</v>
      </c>
      <c r="I105" s="8" t="s">
        <v>22</v>
      </c>
      <c r="J105" s="8" t="s">
        <v>21</v>
      </c>
      <c r="K105" s="9">
        <v>10</v>
      </c>
      <c r="L105" s="9">
        <v>790</v>
      </c>
      <c r="M105" s="9">
        <f t="shared" si="1"/>
        <v>7900</v>
      </c>
    </row>
    <row r="106" spans="6:13" x14ac:dyDescent="0.3">
      <c r="F106" s="7">
        <v>44225</v>
      </c>
      <c r="G106" s="8" t="s">
        <v>8</v>
      </c>
      <c r="H106" s="8" t="s">
        <v>9</v>
      </c>
      <c r="I106" s="8" t="s">
        <v>23</v>
      </c>
      <c r="J106" s="8" t="s">
        <v>24</v>
      </c>
      <c r="K106" s="9">
        <v>6</v>
      </c>
      <c r="L106" s="9">
        <v>2001</v>
      </c>
      <c r="M106" s="9">
        <f t="shared" si="1"/>
        <v>12006</v>
      </c>
    </row>
    <row r="107" spans="6:13" x14ac:dyDescent="0.3">
      <c r="F107" s="7">
        <v>44225</v>
      </c>
      <c r="G107" s="8" t="s">
        <v>12</v>
      </c>
      <c r="H107" s="8" t="s">
        <v>13</v>
      </c>
      <c r="I107" s="8" t="s">
        <v>23</v>
      </c>
      <c r="J107" s="8" t="s">
        <v>24</v>
      </c>
      <c r="K107" s="9">
        <v>44</v>
      </c>
      <c r="L107" s="9">
        <v>75</v>
      </c>
      <c r="M107" s="9">
        <f t="shared" si="1"/>
        <v>3300</v>
      </c>
    </row>
    <row r="108" spans="6:13" x14ac:dyDescent="0.3">
      <c r="F108" s="7">
        <v>44225</v>
      </c>
      <c r="G108" s="8" t="s">
        <v>15</v>
      </c>
      <c r="H108" s="8" t="s">
        <v>13</v>
      </c>
      <c r="I108" s="8" t="s">
        <v>23</v>
      </c>
      <c r="J108" s="8" t="s">
        <v>24</v>
      </c>
      <c r="K108" s="9">
        <v>8</v>
      </c>
      <c r="L108" s="9">
        <v>315</v>
      </c>
      <c r="M108" s="9">
        <f t="shared" si="1"/>
        <v>2520</v>
      </c>
    </row>
    <row r="109" spans="6:13" x14ac:dyDescent="0.3">
      <c r="F109" s="7">
        <v>44225</v>
      </c>
      <c r="G109" s="8" t="s">
        <v>16</v>
      </c>
      <c r="H109" s="8" t="s">
        <v>9</v>
      </c>
      <c r="I109" s="8" t="s">
        <v>23</v>
      </c>
      <c r="J109" s="8" t="s">
        <v>24</v>
      </c>
      <c r="K109" s="9">
        <v>5</v>
      </c>
      <c r="L109" s="9">
        <v>1080</v>
      </c>
      <c r="M109" s="9">
        <f t="shared" si="1"/>
        <v>5400</v>
      </c>
    </row>
    <row r="110" spans="6:13" x14ac:dyDescent="0.3">
      <c r="F110" s="7">
        <v>44225</v>
      </c>
      <c r="G110" s="8" t="s">
        <v>17</v>
      </c>
      <c r="H110" s="8" t="s">
        <v>18</v>
      </c>
      <c r="I110" s="8" t="s">
        <v>25</v>
      </c>
      <c r="J110" s="8" t="s">
        <v>24</v>
      </c>
      <c r="K110" s="9">
        <v>2</v>
      </c>
      <c r="L110" s="9">
        <v>1575</v>
      </c>
      <c r="M110" s="9">
        <f t="shared" si="1"/>
        <v>3150</v>
      </c>
    </row>
    <row r="111" spans="6:13" x14ac:dyDescent="0.3">
      <c r="F111" s="7">
        <v>44225</v>
      </c>
      <c r="G111" s="8" t="s">
        <v>19</v>
      </c>
      <c r="H111" s="8" t="s">
        <v>18</v>
      </c>
      <c r="I111" s="8" t="s">
        <v>25</v>
      </c>
      <c r="J111" s="8" t="s">
        <v>24</v>
      </c>
      <c r="K111" s="9">
        <v>2</v>
      </c>
      <c r="L111" s="9">
        <v>790</v>
      </c>
      <c r="M111" s="9">
        <f t="shared" si="1"/>
        <v>1580</v>
      </c>
    </row>
    <row r="112" spans="6:13" x14ac:dyDescent="0.3">
      <c r="F112" s="7">
        <v>44225</v>
      </c>
      <c r="G112" s="8" t="s">
        <v>8</v>
      </c>
      <c r="H112" s="8" t="s">
        <v>9</v>
      </c>
      <c r="I112" s="8" t="s">
        <v>26</v>
      </c>
      <c r="J112" s="8" t="s">
        <v>27</v>
      </c>
      <c r="K112" s="9">
        <v>6</v>
      </c>
      <c r="L112" s="9">
        <v>2001</v>
      </c>
      <c r="M112" s="9">
        <f t="shared" si="1"/>
        <v>12006</v>
      </c>
    </row>
    <row r="113" spans="6:13" x14ac:dyDescent="0.3">
      <c r="F113" s="7">
        <v>44225</v>
      </c>
      <c r="G113" s="8" t="s">
        <v>12</v>
      </c>
      <c r="H113" s="8" t="s">
        <v>13</v>
      </c>
      <c r="I113" s="8" t="s">
        <v>26</v>
      </c>
      <c r="J113" s="8" t="s">
        <v>27</v>
      </c>
      <c r="K113" s="9">
        <v>58</v>
      </c>
      <c r="L113" s="9">
        <v>75</v>
      </c>
      <c r="M113" s="9">
        <f t="shared" si="1"/>
        <v>4350</v>
      </c>
    </row>
    <row r="114" spans="6:13" x14ac:dyDescent="0.3">
      <c r="F114" s="7">
        <v>44225</v>
      </c>
      <c r="G114" s="8" t="s">
        <v>15</v>
      </c>
      <c r="H114" s="8" t="s">
        <v>13</v>
      </c>
      <c r="I114" s="8" t="s">
        <v>26</v>
      </c>
      <c r="J114" s="8" t="s">
        <v>27</v>
      </c>
      <c r="K114" s="9">
        <v>14</v>
      </c>
      <c r="L114" s="9">
        <v>315</v>
      </c>
      <c r="M114" s="9">
        <f t="shared" si="1"/>
        <v>4410</v>
      </c>
    </row>
    <row r="115" spans="6:13" x14ac:dyDescent="0.3">
      <c r="F115" s="7">
        <v>44225</v>
      </c>
      <c r="G115" s="8" t="s">
        <v>16</v>
      </c>
      <c r="H115" s="8" t="s">
        <v>9</v>
      </c>
      <c r="I115" s="8" t="s">
        <v>26</v>
      </c>
      <c r="J115" s="8" t="s">
        <v>27</v>
      </c>
      <c r="K115" s="9">
        <v>4</v>
      </c>
      <c r="L115" s="9">
        <v>1080</v>
      </c>
      <c r="M115" s="9">
        <f t="shared" si="1"/>
        <v>4320</v>
      </c>
    </row>
    <row r="116" spans="6:13" x14ac:dyDescent="0.3">
      <c r="F116" s="7">
        <v>44225</v>
      </c>
      <c r="G116" s="8" t="s">
        <v>17</v>
      </c>
      <c r="H116" s="8" t="s">
        <v>18</v>
      </c>
      <c r="I116" s="8" t="s">
        <v>28</v>
      </c>
      <c r="J116" s="8" t="s">
        <v>27</v>
      </c>
      <c r="K116" s="9">
        <v>3</v>
      </c>
      <c r="L116" s="9">
        <v>1575</v>
      </c>
      <c r="M116" s="9">
        <f t="shared" si="1"/>
        <v>4725</v>
      </c>
    </row>
    <row r="117" spans="6:13" x14ac:dyDescent="0.3">
      <c r="F117" s="7">
        <v>44225</v>
      </c>
      <c r="G117" s="8" t="s">
        <v>19</v>
      </c>
      <c r="H117" s="8" t="s">
        <v>18</v>
      </c>
      <c r="I117" s="8" t="s">
        <v>28</v>
      </c>
      <c r="J117" s="8" t="s">
        <v>27</v>
      </c>
      <c r="K117" s="9">
        <v>6</v>
      </c>
      <c r="L117" s="9">
        <v>790</v>
      </c>
      <c r="M117" s="9">
        <f t="shared" si="1"/>
        <v>4740</v>
      </c>
    </row>
    <row r="118" spans="6:13" x14ac:dyDescent="0.3">
      <c r="F118" s="7">
        <v>44225</v>
      </c>
      <c r="G118" s="8" t="s">
        <v>8</v>
      </c>
      <c r="H118" s="8" t="s">
        <v>9</v>
      </c>
      <c r="I118" s="8" t="s">
        <v>29</v>
      </c>
      <c r="J118" s="8" t="s">
        <v>30</v>
      </c>
      <c r="K118" s="9">
        <v>6</v>
      </c>
      <c r="L118" s="9">
        <v>2001</v>
      </c>
      <c r="M118" s="9">
        <f t="shared" si="1"/>
        <v>12006</v>
      </c>
    </row>
    <row r="119" spans="6:13" x14ac:dyDescent="0.3">
      <c r="F119" s="7">
        <v>44225</v>
      </c>
      <c r="G119" s="8" t="s">
        <v>12</v>
      </c>
      <c r="H119" s="8" t="s">
        <v>13</v>
      </c>
      <c r="I119" s="8" t="s">
        <v>31</v>
      </c>
      <c r="J119" s="8" t="s">
        <v>30</v>
      </c>
      <c r="K119" s="9">
        <v>37</v>
      </c>
      <c r="L119" s="9">
        <v>75</v>
      </c>
      <c r="M119" s="9">
        <f t="shared" si="1"/>
        <v>2775</v>
      </c>
    </row>
    <row r="120" spans="6:13" x14ac:dyDescent="0.3">
      <c r="F120" s="7">
        <v>44225</v>
      </c>
      <c r="G120" s="8" t="s">
        <v>15</v>
      </c>
      <c r="H120" s="8" t="s">
        <v>13</v>
      </c>
      <c r="I120" s="8" t="s">
        <v>31</v>
      </c>
      <c r="J120" s="8" t="s">
        <v>30</v>
      </c>
      <c r="K120" s="9">
        <v>13</v>
      </c>
      <c r="L120" s="9">
        <v>315</v>
      </c>
      <c r="M120" s="9">
        <f t="shared" si="1"/>
        <v>4095</v>
      </c>
    </row>
    <row r="121" spans="6:13" x14ac:dyDescent="0.3">
      <c r="F121" s="7">
        <v>44225</v>
      </c>
      <c r="G121" s="8" t="s">
        <v>16</v>
      </c>
      <c r="H121" s="8" t="s">
        <v>9</v>
      </c>
      <c r="I121" s="8" t="s">
        <v>29</v>
      </c>
      <c r="J121" s="8" t="s">
        <v>30</v>
      </c>
      <c r="K121" s="9">
        <v>5</v>
      </c>
      <c r="L121" s="9">
        <v>1080</v>
      </c>
      <c r="M121" s="9">
        <f t="shared" si="1"/>
        <v>5400</v>
      </c>
    </row>
    <row r="122" spans="6:13" x14ac:dyDescent="0.3">
      <c r="F122" s="7">
        <v>44225</v>
      </c>
      <c r="G122" s="8" t="s">
        <v>17</v>
      </c>
      <c r="H122" s="8" t="s">
        <v>18</v>
      </c>
      <c r="I122" s="8" t="s">
        <v>31</v>
      </c>
      <c r="J122" s="8" t="s">
        <v>30</v>
      </c>
      <c r="K122" s="9">
        <v>3</v>
      </c>
      <c r="L122" s="9">
        <v>1575</v>
      </c>
      <c r="M122" s="9">
        <f t="shared" si="1"/>
        <v>4725</v>
      </c>
    </row>
    <row r="123" spans="6:13" x14ac:dyDescent="0.3">
      <c r="F123" s="7">
        <v>44225</v>
      </c>
      <c r="G123" s="8" t="s">
        <v>19</v>
      </c>
      <c r="H123" s="8" t="s">
        <v>18</v>
      </c>
      <c r="I123" s="8" t="s">
        <v>31</v>
      </c>
      <c r="J123" s="8" t="s">
        <v>30</v>
      </c>
      <c r="K123" s="9">
        <v>10</v>
      </c>
      <c r="L123" s="9">
        <v>790</v>
      </c>
      <c r="M123" s="9">
        <f t="shared" si="1"/>
        <v>7900</v>
      </c>
    </row>
    <row r="124" spans="6:13" x14ac:dyDescent="0.3">
      <c r="F124" s="7">
        <v>44232</v>
      </c>
      <c r="G124" s="8" t="s">
        <v>8</v>
      </c>
      <c r="H124" s="8" t="s">
        <v>9</v>
      </c>
      <c r="I124" s="8" t="s">
        <v>10</v>
      </c>
      <c r="J124" s="8" t="s">
        <v>11</v>
      </c>
      <c r="K124" s="9">
        <v>5</v>
      </c>
      <c r="L124" s="9">
        <v>2001</v>
      </c>
      <c r="M124" s="9">
        <f t="shared" si="1"/>
        <v>10005</v>
      </c>
    </row>
    <row r="125" spans="6:13" x14ac:dyDescent="0.3">
      <c r="F125" s="7">
        <v>44232</v>
      </c>
      <c r="G125" s="8" t="s">
        <v>12</v>
      </c>
      <c r="H125" s="8" t="s">
        <v>13</v>
      </c>
      <c r="I125" s="8" t="s">
        <v>14</v>
      </c>
      <c r="J125" s="8" t="s">
        <v>11</v>
      </c>
      <c r="K125" s="9">
        <v>48</v>
      </c>
      <c r="L125" s="9">
        <v>75</v>
      </c>
      <c r="M125" s="9">
        <f t="shared" si="1"/>
        <v>3600</v>
      </c>
    </row>
    <row r="126" spans="6:13" x14ac:dyDescent="0.3">
      <c r="F126" s="7">
        <v>44232</v>
      </c>
      <c r="G126" s="8" t="s">
        <v>15</v>
      </c>
      <c r="H126" s="8" t="s">
        <v>13</v>
      </c>
      <c r="I126" s="8" t="s">
        <v>14</v>
      </c>
      <c r="J126" s="8" t="s">
        <v>11</v>
      </c>
      <c r="K126" s="9">
        <v>12</v>
      </c>
      <c r="L126" s="9">
        <v>315</v>
      </c>
      <c r="M126" s="9">
        <f t="shared" si="1"/>
        <v>3780</v>
      </c>
    </row>
    <row r="127" spans="6:13" x14ac:dyDescent="0.3">
      <c r="F127" s="7">
        <v>44232</v>
      </c>
      <c r="G127" s="8" t="s">
        <v>16</v>
      </c>
      <c r="H127" s="8" t="s">
        <v>9</v>
      </c>
      <c r="I127" s="8" t="s">
        <v>10</v>
      </c>
      <c r="J127" s="8" t="s">
        <v>11</v>
      </c>
      <c r="K127" s="9">
        <v>2</v>
      </c>
      <c r="L127" s="9">
        <v>1080</v>
      </c>
      <c r="M127" s="9">
        <f t="shared" si="1"/>
        <v>2160</v>
      </c>
    </row>
    <row r="128" spans="6:13" x14ac:dyDescent="0.3">
      <c r="F128" s="7">
        <v>44232</v>
      </c>
      <c r="G128" s="8" t="s">
        <v>17</v>
      </c>
      <c r="H128" s="8" t="s">
        <v>18</v>
      </c>
      <c r="I128" s="8" t="s">
        <v>10</v>
      </c>
      <c r="J128" s="8" t="s">
        <v>11</v>
      </c>
      <c r="K128" s="9">
        <v>6</v>
      </c>
      <c r="L128" s="9">
        <v>1575</v>
      </c>
      <c r="M128" s="9">
        <f t="shared" si="1"/>
        <v>9450</v>
      </c>
    </row>
    <row r="129" spans="6:13" x14ac:dyDescent="0.3">
      <c r="F129" s="7">
        <v>44232</v>
      </c>
      <c r="G129" s="8" t="s">
        <v>19</v>
      </c>
      <c r="H129" s="8" t="s">
        <v>18</v>
      </c>
      <c r="I129" s="8" t="s">
        <v>10</v>
      </c>
      <c r="J129" s="8" t="s">
        <v>11</v>
      </c>
      <c r="K129" s="9">
        <v>6</v>
      </c>
      <c r="L129" s="9">
        <v>790</v>
      </c>
      <c r="M129" s="9">
        <f t="shared" si="1"/>
        <v>4740</v>
      </c>
    </row>
    <row r="130" spans="6:13" x14ac:dyDescent="0.3">
      <c r="F130" s="7">
        <v>44232</v>
      </c>
      <c r="G130" s="8" t="s">
        <v>8</v>
      </c>
      <c r="H130" s="8" t="s">
        <v>9</v>
      </c>
      <c r="I130" s="8" t="s">
        <v>20</v>
      </c>
      <c r="J130" s="8" t="s">
        <v>21</v>
      </c>
      <c r="K130" s="9">
        <v>6</v>
      </c>
      <c r="L130" s="9">
        <v>2001</v>
      </c>
      <c r="M130" s="9">
        <f t="shared" si="1"/>
        <v>12006</v>
      </c>
    </row>
    <row r="131" spans="6:13" x14ac:dyDescent="0.3">
      <c r="F131" s="7">
        <v>44232</v>
      </c>
      <c r="G131" s="8" t="s">
        <v>12</v>
      </c>
      <c r="H131" s="8" t="s">
        <v>13</v>
      </c>
      <c r="I131" s="8" t="s">
        <v>22</v>
      </c>
      <c r="J131" s="8" t="s">
        <v>21</v>
      </c>
      <c r="K131" s="9">
        <v>90</v>
      </c>
      <c r="L131" s="9">
        <v>75</v>
      </c>
      <c r="M131" s="9">
        <f t="shared" si="1"/>
        <v>6750</v>
      </c>
    </row>
    <row r="132" spans="6:13" x14ac:dyDescent="0.3">
      <c r="F132" s="7">
        <v>44232</v>
      </c>
      <c r="G132" s="8" t="s">
        <v>15</v>
      </c>
      <c r="H132" s="8" t="s">
        <v>13</v>
      </c>
      <c r="I132" s="8" t="s">
        <v>22</v>
      </c>
      <c r="J132" s="8" t="s">
        <v>21</v>
      </c>
      <c r="K132" s="9">
        <v>15</v>
      </c>
      <c r="L132" s="9">
        <v>315</v>
      </c>
      <c r="M132" s="9">
        <f t="shared" ref="M132:M195" si="2">K132*L132</f>
        <v>4725</v>
      </c>
    </row>
    <row r="133" spans="6:13" x14ac:dyDescent="0.3">
      <c r="F133" s="7">
        <v>44232</v>
      </c>
      <c r="G133" s="8" t="s">
        <v>16</v>
      </c>
      <c r="H133" s="8" t="s">
        <v>9</v>
      </c>
      <c r="I133" s="8" t="s">
        <v>20</v>
      </c>
      <c r="J133" s="8" t="s">
        <v>21</v>
      </c>
      <c r="K133" s="9">
        <v>4</v>
      </c>
      <c r="L133" s="9">
        <v>1080</v>
      </c>
      <c r="M133" s="9">
        <f t="shared" si="2"/>
        <v>4320</v>
      </c>
    </row>
    <row r="134" spans="6:13" x14ac:dyDescent="0.3">
      <c r="F134" s="7">
        <v>44232</v>
      </c>
      <c r="G134" s="8" t="s">
        <v>17</v>
      </c>
      <c r="H134" s="8" t="s">
        <v>18</v>
      </c>
      <c r="I134" s="8" t="s">
        <v>22</v>
      </c>
      <c r="J134" s="8" t="s">
        <v>21</v>
      </c>
      <c r="K134" s="9">
        <v>4</v>
      </c>
      <c r="L134" s="9">
        <v>1575</v>
      </c>
      <c r="M134" s="9">
        <f t="shared" si="2"/>
        <v>6300</v>
      </c>
    </row>
    <row r="135" spans="6:13" x14ac:dyDescent="0.3">
      <c r="F135" s="7">
        <v>44232</v>
      </c>
      <c r="G135" s="8" t="s">
        <v>19</v>
      </c>
      <c r="H135" s="8" t="s">
        <v>18</v>
      </c>
      <c r="I135" s="8" t="s">
        <v>20</v>
      </c>
      <c r="J135" s="8" t="s">
        <v>21</v>
      </c>
      <c r="K135" s="9">
        <v>11</v>
      </c>
      <c r="L135" s="9">
        <v>790</v>
      </c>
      <c r="M135" s="9">
        <f t="shared" si="2"/>
        <v>8690</v>
      </c>
    </row>
    <row r="136" spans="6:13" x14ac:dyDescent="0.3">
      <c r="F136" s="7">
        <v>44232</v>
      </c>
      <c r="G136" s="8" t="s">
        <v>8</v>
      </c>
      <c r="H136" s="8" t="s">
        <v>9</v>
      </c>
      <c r="I136" s="8" t="s">
        <v>23</v>
      </c>
      <c r="J136" s="8" t="s">
        <v>24</v>
      </c>
      <c r="K136" s="9">
        <v>4</v>
      </c>
      <c r="L136" s="9">
        <v>2001</v>
      </c>
      <c r="M136" s="9">
        <f t="shared" si="2"/>
        <v>8004</v>
      </c>
    </row>
    <row r="137" spans="6:13" x14ac:dyDescent="0.3">
      <c r="F137" s="7">
        <v>44232</v>
      </c>
      <c r="G137" s="8" t="s">
        <v>12</v>
      </c>
      <c r="H137" s="8" t="s">
        <v>13</v>
      </c>
      <c r="I137" s="8" t="s">
        <v>25</v>
      </c>
      <c r="J137" s="8" t="s">
        <v>24</v>
      </c>
      <c r="K137" s="9">
        <v>35</v>
      </c>
      <c r="L137" s="9">
        <v>75</v>
      </c>
      <c r="M137" s="9">
        <f t="shared" si="2"/>
        <v>2625</v>
      </c>
    </row>
    <row r="138" spans="6:13" x14ac:dyDescent="0.3">
      <c r="F138" s="7">
        <v>44232</v>
      </c>
      <c r="G138" s="8" t="s">
        <v>15</v>
      </c>
      <c r="H138" s="8" t="s">
        <v>13</v>
      </c>
      <c r="I138" s="8" t="s">
        <v>25</v>
      </c>
      <c r="J138" s="8" t="s">
        <v>24</v>
      </c>
      <c r="K138" s="9">
        <v>11</v>
      </c>
      <c r="L138" s="9">
        <v>315</v>
      </c>
      <c r="M138" s="9">
        <f t="shared" si="2"/>
        <v>3465</v>
      </c>
    </row>
    <row r="139" spans="6:13" x14ac:dyDescent="0.3">
      <c r="F139" s="7">
        <v>44232</v>
      </c>
      <c r="G139" s="8" t="s">
        <v>16</v>
      </c>
      <c r="H139" s="8" t="s">
        <v>9</v>
      </c>
      <c r="I139" s="8" t="s">
        <v>23</v>
      </c>
      <c r="J139" s="8" t="s">
        <v>24</v>
      </c>
      <c r="K139" s="9">
        <v>4</v>
      </c>
      <c r="L139" s="9">
        <v>1080</v>
      </c>
      <c r="M139" s="9">
        <f t="shared" si="2"/>
        <v>4320</v>
      </c>
    </row>
    <row r="140" spans="6:13" x14ac:dyDescent="0.3">
      <c r="F140" s="7">
        <v>44232</v>
      </c>
      <c r="G140" s="8" t="s">
        <v>17</v>
      </c>
      <c r="H140" s="8" t="s">
        <v>18</v>
      </c>
      <c r="I140" s="8" t="s">
        <v>25</v>
      </c>
      <c r="J140" s="8" t="s">
        <v>24</v>
      </c>
      <c r="K140" s="9">
        <v>5</v>
      </c>
      <c r="L140" s="9">
        <v>1575</v>
      </c>
      <c r="M140" s="9">
        <f t="shared" si="2"/>
        <v>7875</v>
      </c>
    </row>
    <row r="141" spans="6:13" x14ac:dyDescent="0.3">
      <c r="F141" s="7">
        <v>44232</v>
      </c>
      <c r="G141" s="8" t="s">
        <v>19</v>
      </c>
      <c r="H141" s="8" t="s">
        <v>18</v>
      </c>
      <c r="I141" s="8" t="s">
        <v>25</v>
      </c>
      <c r="J141" s="8" t="s">
        <v>24</v>
      </c>
      <c r="K141" s="9">
        <v>6</v>
      </c>
      <c r="L141" s="9">
        <v>790</v>
      </c>
      <c r="M141" s="9">
        <f t="shared" si="2"/>
        <v>4740</v>
      </c>
    </row>
    <row r="142" spans="6:13" x14ac:dyDescent="0.3">
      <c r="F142" s="7">
        <v>44232</v>
      </c>
      <c r="G142" s="8" t="s">
        <v>8</v>
      </c>
      <c r="H142" s="8" t="s">
        <v>9</v>
      </c>
      <c r="I142" s="8" t="s">
        <v>26</v>
      </c>
      <c r="J142" s="8" t="s">
        <v>27</v>
      </c>
      <c r="K142" s="9">
        <v>5</v>
      </c>
      <c r="L142" s="9">
        <v>2001</v>
      </c>
      <c r="M142" s="9">
        <f t="shared" si="2"/>
        <v>10005</v>
      </c>
    </row>
    <row r="143" spans="6:13" x14ac:dyDescent="0.3">
      <c r="F143" s="7">
        <v>44232</v>
      </c>
      <c r="G143" s="8" t="s">
        <v>12</v>
      </c>
      <c r="H143" s="8" t="s">
        <v>13</v>
      </c>
      <c r="I143" s="8" t="s">
        <v>26</v>
      </c>
      <c r="J143" s="8" t="s">
        <v>27</v>
      </c>
      <c r="K143" s="9">
        <v>59</v>
      </c>
      <c r="L143" s="9">
        <v>75</v>
      </c>
      <c r="M143" s="9">
        <f t="shared" si="2"/>
        <v>4425</v>
      </c>
    </row>
    <row r="144" spans="6:13" x14ac:dyDescent="0.3">
      <c r="F144" s="7">
        <v>44232</v>
      </c>
      <c r="G144" s="8" t="s">
        <v>15</v>
      </c>
      <c r="H144" s="8" t="s">
        <v>13</v>
      </c>
      <c r="I144" s="8" t="s">
        <v>26</v>
      </c>
      <c r="J144" s="8" t="s">
        <v>27</v>
      </c>
      <c r="K144" s="9">
        <v>5</v>
      </c>
      <c r="L144" s="9">
        <v>315</v>
      </c>
      <c r="M144" s="9">
        <f t="shared" si="2"/>
        <v>1575</v>
      </c>
    </row>
    <row r="145" spans="6:13" x14ac:dyDescent="0.3">
      <c r="F145" s="7">
        <v>44232</v>
      </c>
      <c r="G145" s="8" t="s">
        <v>16</v>
      </c>
      <c r="H145" s="8" t="s">
        <v>9</v>
      </c>
      <c r="I145" s="8" t="s">
        <v>26</v>
      </c>
      <c r="J145" s="8" t="s">
        <v>27</v>
      </c>
      <c r="K145" s="9">
        <v>5</v>
      </c>
      <c r="L145" s="9">
        <v>1080</v>
      </c>
      <c r="M145" s="9">
        <f t="shared" si="2"/>
        <v>5400</v>
      </c>
    </row>
    <row r="146" spans="6:13" x14ac:dyDescent="0.3">
      <c r="F146" s="7">
        <v>44232</v>
      </c>
      <c r="G146" s="8" t="s">
        <v>17</v>
      </c>
      <c r="H146" s="8" t="s">
        <v>18</v>
      </c>
      <c r="I146" s="8" t="s">
        <v>28</v>
      </c>
      <c r="J146" s="8" t="s">
        <v>27</v>
      </c>
      <c r="K146" s="9">
        <v>3</v>
      </c>
      <c r="L146" s="9">
        <v>1575</v>
      </c>
      <c r="M146" s="9">
        <f t="shared" si="2"/>
        <v>4725</v>
      </c>
    </row>
    <row r="147" spans="6:13" x14ac:dyDescent="0.3">
      <c r="F147" s="7">
        <v>44232</v>
      </c>
      <c r="G147" s="8" t="s">
        <v>19</v>
      </c>
      <c r="H147" s="8" t="s">
        <v>18</v>
      </c>
      <c r="I147" s="8" t="s">
        <v>28</v>
      </c>
      <c r="J147" s="8" t="s">
        <v>27</v>
      </c>
      <c r="K147" s="9">
        <v>10</v>
      </c>
      <c r="L147" s="9">
        <v>790</v>
      </c>
      <c r="M147" s="9">
        <f t="shared" si="2"/>
        <v>7900</v>
      </c>
    </row>
    <row r="148" spans="6:13" x14ac:dyDescent="0.3">
      <c r="F148" s="7">
        <v>44232</v>
      </c>
      <c r="G148" s="8" t="s">
        <v>8</v>
      </c>
      <c r="H148" s="8" t="s">
        <v>9</v>
      </c>
      <c r="I148" s="8" t="s">
        <v>29</v>
      </c>
      <c r="J148" s="8" t="s">
        <v>30</v>
      </c>
      <c r="K148" s="9">
        <v>6</v>
      </c>
      <c r="L148" s="9">
        <v>2001</v>
      </c>
      <c r="M148" s="9">
        <f t="shared" si="2"/>
        <v>12006</v>
      </c>
    </row>
    <row r="149" spans="6:13" x14ac:dyDescent="0.3">
      <c r="F149" s="7">
        <v>44232</v>
      </c>
      <c r="G149" s="8" t="s">
        <v>12</v>
      </c>
      <c r="H149" s="8" t="s">
        <v>13</v>
      </c>
      <c r="I149" s="8" t="s">
        <v>31</v>
      </c>
      <c r="J149" s="8" t="s">
        <v>30</v>
      </c>
      <c r="K149" s="9">
        <v>32</v>
      </c>
      <c r="L149" s="9">
        <v>75</v>
      </c>
      <c r="M149" s="9">
        <f t="shared" si="2"/>
        <v>2400</v>
      </c>
    </row>
    <row r="150" spans="6:13" x14ac:dyDescent="0.3">
      <c r="F150" s="7">
        <v>44232</v>
      </c>
      <c r="G150" s="8" t="s">
        <v>15</v>
      </c>
      <c r="H150" s="8" t="s">
        <v>13</v>
      </c>
      <c r="I150" s="8" t="s">
        <v>31</v>
      </c>
      <c r="J150" s="8" t="s">
        <v>30</v>
      </c>
      <c r="K150" s="9">
        <v>9</v>
      </c>
      <c r="L150" s="9">
        <v>315</v>
      </c>
      <c r="M150" s="9">
        <f t="shared" si="2"/>
        <v>2835</v>
      </c>
    </row>
    <row r="151" spans="6:13" x14ac:dyDescent="0.3">
      <c r="F151" s="7">
        <v>44232</v>
      </c>
      <c r="G151" s="8" t="s">
        <v>16</v>
      </c>
      <c r="H151" s="8" t="s">
        <v>9</v>
      </c>
      <c r="I151" s="8" t="s">
        <v>29</v>
      </c>
      <c r="J151" s="8" t="s">
        <v>30</v>
      </c>
      <c r="K151" s="9">
        <v>3</v>
      </c>
      <c r="L151" s="9">
        <v>1080</v>
      </c>
      <c r="M151" s="9">
        <f t="shared" si="2"/>
        <v>3240</v>
      </c>
    </row>
    <row r="152" spans="6:13" x14ac:dyDescent="0.3">
      <c r="F152" s="7">
        <v>44232</v>
      </c>
      <c r="G152" s="8" t="s">
        <v>17</v>
      </c>
      <c r="H152" s="8" t="s">
        <v>18</v>
      </c>
      <c r="I152" s="8" t="s">
        <v>31</v>
      </c>
      <c r="J152" s="8" t="s">
        <v>30</v>
      </c>
      <c r="K152" s="9">
        <v>6</v>
      </c>
      <c r="L152" s="9">
        <v>1575</v>
      </c>
      <c r="M152" s="9">
        <f t="shared" si="2"/>
        <v>9450</v>
      </c>
    </row>
    <row r="153" spans="6:13" x14ac:dyDescent="0.3">
      <c r="F153" s="7">
        <v>44232</v>
      </c>
      <c r="G153" s="8" t="s">
        <v>19</v>
      </c>
      <c r="H153" s="8" t="s">
        <v>18</v>
      </c>
      <c r="I153" s="8" t="s">
        <v>31</v>
      </c>
      <c r="J153" s="8" t="s">
        <v>30</v>
      </c>
      <c r="K153" s="9">
        <v>10</v>
      </c>
      <c r="L153" s="9">
        <v>790</v>
      </c>
      <c r="M153" s="9">
        <f t="shared" si="2"/>
        <v>7900</v>
      </c>
    </row>
    <row r="154" spans="6:13" x14ac:dyDescent="0.3">
      <c r="F154" s="7">
        <v>44239</v>
      </c>
      <c r="G154" s="8" t="s">
        <v>8</v>
      </c>
      <c r="H154" s="8" t="s">
        <v>9</v>
      </c>
      <c r="I154" s="8" t="s">
        <v>10</v>
      </c>
      <c r="J154" s="8" t="s">
        <v>11</v>
      </c>
      <c r="K154" s="9">
        <v>3</v>
      </c>
      <c r="L154" s="9">
        <v>2001</v>
      </c>
      <c r="M154" s="9">
        <f t="shared" si="2"/>
        <v>6003</v>
      </c>
    </row>
    <row r="155" spans="6:13" x14ac:dyDescent="0.3">
      <c r="F155" s="7">
        <v>44239</v>
      </c>
      <c r="G155" s="8" t="s">
        <v>12</v>
      </c>
      <c r="H155" s="8" t="s">
        <v>13</v>
      </c>
      <c r="I155" s="8" t="s">
        <v>14</v>
      </c>
      <c r="J155" s="8" t="s">
        <v>11</v>
      </c>
      <c r="K155" s="9">
        <v>39</v>
      </c>
      <c r="L155" s="9">
        <v>75</v>
      </c>
      <c r="M155" s="9">
        <f t="shared" si="2"/>
        <v>2925</v>
      </c>
    </row>
    <row r="156" spans="6:13" x14ac:dyDescent="0.3">
      <c r="F156" s="7">
        <v>44239</v>
      </c>
      <c r="G156" s="8" t="s">
        <v>15</v>
      </c>
      <c r="H156" s="8" t="s">
        <v>13</v>
      </c>
      <c r="I156" s="8" t="s">
        <v>14</v>
      </c>
      <c r="J156" s="8" t="s">
        <v>11</v>
      </c>
      <c r="K156" s="9">
        <v>12</v>
      </c>
      <c r="L156" s="9">
        <v>315</v>
      </c>
      <c r="M156" s="9">
        <f t="shared" si="2"/>
        <v>3780</v>
      </c>
    </row>
    <row r="157" spans="6:13" x14ac:dyDescent="0.3">
      <c r="F157" s="7">
        <v>44239</v>
      </c>
      <c r="G157" s="8" t="s">
        <v>16</v>
      </c>
      <c r="H157" s="8" t="s">
        <v>9</v>
      </c>
      <c r="I157" s="8" t="s">
        <v>10</v>
      </c>
      <c r="J157" s="8" t="s">
        <v>11</v>
      </c>
      <c r="K157" s="9">
        <v>4</v>
      </c>
      <c r="L157" s="9">
        <v>1080</v>
      </c>
      <c r="M157" s="9">
        <f t="shared" si="2"/>
        <v>4320</v>
      </c>
    </row>
    <row r="158" spans="6:13" x14ac:dyDescent="0.3">
      <c r="F158" s="7">
        <v>44239</v>
      </c>
      <c r="G158" s="8" t="s">
        <v>17</v>
      </c>
      <c r="H158" s="8" t="s">
        <v>18</v>
      </c>
      <c r="I158" s="8" t="s">
        <v>10</v>
      </c>
      <c r="J158" s="8" t="s">
        <v>11</v>
      </c>
      <c r="K158" s="9">
        <v>5</v>
      </c>
      <c r="L158" s="9">
        <v>1575</v>
      </c>
      <c r="M158" s="9">
        <f t="shared" si="2"/>
        <v>7875</v>
      </c>
    </row>
    <row r="159" spans="6:13" x14ac:dyDescent="0.3">
      <c r="F159" s="7">
        <v>44239</v>
      </c>
      <c r="G159" s="8" t="s">
        <v>19</v>
      </c>
      <c r="H159" s="8" t="s">
        <v>18</v>
      </c>
      <c r="I159" s="8" t="s">
        <v>10</v>
      </c>
      <c r="J159" s="8" t="s">
        <v>11</v>
      </c>
      <c r="K159" s="9">
        <v>10</v>
      </c>
      <c r="L159" s="9">
        <v>790</v>
      </c>
      <c r="M159" s="9">
        <f t="shared" si="2"/>
        <v>7900</v>
      </c>
    </row>
    <row r="160" spans="6:13" x14ac:dyDescent="0.3">
      <c r="F160" s="7">
        <v>44239</v>
      </c>
      <c r="G160" s="8" t="s">
        <v>8</v>
      </c>
      <c r="H160" s="8" t="s">
        <v>9</v>
      </c>
      <c r="I160" s="8" t="s">
        <v>20</v>
      </c>
      <c r="J160" s="8" t="s">
        <v>21</v>
      </c>
      <c r="K160" s="9">
        <v>4</v>
      </c>
      <c r="L160" s="9">
        <v>2001</v>
      </c>
      <c r="M160" s="9">
        <f t="shared" si="2"/>
        <v>8004</v>
      </c>
    </row>
    <row r="161" spans="6:13" x14ac:dyDescent="0.3">
      <c r="F161" s="7">
        <v>44239</v>
      </c>
      <c r="G161" s="8" t="s">
        <v>12</v>
      </c>
      <c r="H161" s="8" t="s">
        <v>13</v>
      </c>
      <c r="I161" s="8" t="s">
        <v>22</v>
      </c>
      <c r="J161" s="8" t="s">
        <v>21</v>
      </c>
      <c r="K161" s="9">
        <v>62</v>
      </c>
      <c r="L161" s="9">
        <v>75</v>
      </c>
      <c r="M161" s="9">
        <f t="shared" si="2"/>
        <v>4650</v>
      </c>
    </row>
    <row r="162" spans="6:13" x14ac:dyDescent="0.3">
      <c r="F162" s="7">
        <v>44239</v>
      </c>
      <c r="G162" s="8" t="s">
        <v>15</v>
      </c>
      <c r="H162" s="8" t="s">
        <v>13</v>
      </c>
      <c r="I162" s="8" t="s">
        <v>22</v>
      </c>
      <c r="J162" s="8" t="s">
        <v>21</v>
      </c>
      <c r="K162" s="9">
        <v>15</v>
      </c>
      <c r="L162" s="9">
        <v>315</v>
      </c>
      <c r="M162" s="9">
        <f t="shared" si="2"/>
        <v>4725</v>
      </c>
    </row>
    <row r="163" spans="6:13" x14ac:dyDescent="0.3">
      <c r="F163" s="7">
        <v>44239</v>
      </c>
      <c r="G163" s="8" t="s">
        <v>16</v>
      </c>
      <c r="H163" s="8" t="s">
        <v>9</v>
      </c>
      <c r="I163" s="8" t="s">
        <v>20</v>
      </c>
      <c r="J163" s="8" t="s">
        <v>21</v>
      </c>
      <c r="K163" s="9">
        <v>5</v>
      </c>
      <c r="L163" s="9">
        <v>1080</v>
      </c>
      <c r="M163" s="9">
        <f t="shared" si="2"/>
        <v>5400</v>
      </c>
    </row>
    <row r="164" spans="6:13" x14ac:dyDescent="0.3">
      <c r="F164" s="7">
        <v>44239</v>
      </c>
      <c r="G164" s="8" t="s">
        <v>17</v>
      </c>
      <c r="H164" s="8" t="s">
        <v>18</v>
      </c>
      <c r="I164" s="8" t="s">
        <v>20</v>
      </c>
      <c r="J164" s="8" t="s">
        <v>21</v>
      </c>
      <c r="K164" s="9">
        <v>5</v>
      </c>
      <c r="L164" s="9">
        <v>1575</v>
      </c>
      <c r="M164" s="9">
        <f t="shared" si="2"/>
        <v>7875</v>
      </c>
    </row>
    <row r="165" spans="6:13" x14ac:dyDescent="0.3">
      <c r="F165" s="7">
        <v>44239</v>
      </c>
      <c r="G165" s="8" t="s">
        <v>19</v>
      </c>
      <c r="H165" s="8" t="s">
        <v>18</v>
      </c>
      <c r="I165" s="8" t="s">
        <v>20</v>
      </c>
      <c r="J165" s="8" t="s">
        <v>21</v>
      </c>
      <c r="K165" s="9">
        <v>11</v>
      </c>
      <c r="L165" s="9">
        <v>790</v>
      </c>
      <c r="M165" s="9">
        <f t="shared" si="2"/>
        <v>8690</v>
      </c>
    </row>
    <row r="166" spans="6:13" x14ac:dyDescent="0.3">
      <c r="F166" s="7">
        <v>44239</v>
      </c>
      <c r="G166" s="8" t="s">
        <v>8</v>
      </c>
      <c r="H166" s="8" t="s">
        <v>9</v>
      </c>
      <c r="I166" s="8" t="s">
        <v>23</v>
      </c>
      <c r="J166" s="8" t="s">
        <v>24</v>
      </c>
      <c r="K166" s="9">
        <v>2</v>
      </c>
      <c r="L166" s="9">
        <v>2001</v>
      </c>
      <c r="M166" s="9">
        <f t="shared" si="2"/>
        <v>4002</v>
      </c>
    </row>
    <row r="167" spans="6:13" x14ac:dyDescent="0.3">
      <c r="F167" s="7">
        <v>44239</v>
      </c>
      <c r="G167" s="8" t="s">
        <v>12</v>
      </c>
      <c r="H167" s="8" t="s">
        <v>13</v>
      </c>
      <c r="I167" s="8" t="s">
        <v>25</v>
      </c>
      <c r="J167" s="8" t="s">
        <v>24</v>
      </c>
      <c r="K167" s="9">
        <v>35</v>
      </c>
      <c r="L167" s="9">
        <v>75</v>
      </c>
      <c r="M167" s="9">
        <f t="shared" si="2"/>
        <v>2625</v>
      </c>
    </row>
    <row r="168" spans="6:13" x14ac:dyDescent="0.3">
      <c r="F168" s="7">
        <v>44239</v>
      </c>
      <c r="G168" s="8" t="s">
        <v>15</v>
      </c>
      <c r="H168" s="8" t="s">
        <v>13</v>
      </c>
      <c r="I168" s="8" t="s">
        <v>25</v>
      </c>
      <c r="J168" s="8" t="s">
        <v>24</v>
      </c>
      <c r="K168" s="9">
        <v>5</v>
      </c>
      <c r="L168" s="9">
        <v>315</v>
      </c>
      <c r="M168" s="9">
        <f t="shared" si="2"/>
        <v>1575</v>
      </c>
    </row>
    <row r="169" spans="6:13" x14ac:dyDescent="0.3">
      <c r="F169" s="7">
        <v>44239</v>
      </c>
      <c r="G169" s="8" t="s">
        <v>16</v>
      </c>
      <c r="H169" s="8" t="s">
        <v>9</v>
      </c>
      <c r="I169" s="8" t="s">
        <v>23</v>
      </c>
      <c r="J169" s="8" t="s">
        <v>24</v>
      </c>
      <c r="K169" s="9">
        <v>2</v>
      </c>
      <c r="L169" s="9">
        <v>1080</v>
      </c>
      <c r="M169" s="9">
        <f t="shared" si="2"/>
        <v>2160</v>
      </c>
    </row>
    <row r="170" spans="6:13" x14ac:dyDescent="0.3">
      <c r="F170" s="7">
        <v>44239</v>
      </c>
      <c r="G170" s="8" t="s">
        <v>17</v>
      </c>
      <c r="H170" s="8" t="s">
        <v>18</v>
      </c>
      <c r="I170" s="8" t="s">
        <v>25</v>
      </c>
      <c r="J170" s="8" t="s">
        <v>24</v>
      </c>
      <c r="K170" s="9">
        <v>2</v>
      </c>
      <c r="L170" s="9">
        <v>1575</v>
      </c>
      <c r="M170" s="9">
        <f t="shared" si="2"/>
        <v>3150</v>
      </c>
    </row>
    <row r="171" spans="6:13" x14ac:dyDescent="0.3">
      <c r="F171" s="7">
        <v>44239</v>
      </c>
      <c r="G171" s="8" t="s">
        <v>19</v>
      </c>
      <c r="H171" s="8" t="s">
        <v>18</v>
      </c>
      <c r="I171" s="8" t="s">
        <v>25</v>
      </c>
      <c r="J171" s="8" t="s">
        <v>24</v>
      </c>
      <c r="K171" s="9">
        <v>5</v>
      </c>
      <c r="L171" s="9">
        <v>790</v>
      </c>
      <c r="M171" s="9">
        <f t="shared" si="2"/>
        <v>3950</v>
      </c>
    </row>
    <row r="172" spans="6:13" x14ac:dyDescent="0.3">
      <c r="F172" s="7">
        <v>44239</v>
      </c>
      <c r="G172" s="8" t="s">
        <v>8</v>
      </c>
      <c r="H172" s="8" t="s">
        <v>9</v>
      </c>
      <c r="I172" s="8" t="s">
        <v>26</v>
      </c>
      <c r="J172" s="8" t="s">
        <v>27</v>
      </c>
      <c r="K172" s="9">
        <v>4</v>
      </c>
      <c r="L172" s="9">
        <v>2001</v>
      </c>
      <c r="M172" s="9">
        <f t="shared" si="2"/>
        <v>8004</v>
      </c>
    </row>
    <row r="173" spans="6:13" x14ac:dyDescent="0.3">
      <c r="F173" s="7">
        <v>44239</v>
      </c>
      <c r="G173" s="8" t="s">
        <v>12</v>
      </c>
      <c r="H173" s="8" t="s">
        <v>13</v>
      </c>
      <c r="I173" s="8" t="s">
        <v>26</v>
      </c>
      <c r="J173" s="8" t="s">
        <v>27</v>
      </c>
      <c r="K173" s="9">
        <v>55</v>
      </c>
      <c r="L173" s="9">
        <v>75</v>
      </c>
      <c r="M173" s="9">
        <f t="shared" si="2"/>
        <v>4125</v>
      </c>
    </row>
    <row r="174" spans="6:13" x14ac:dyDescent="0.3">
      <c r="F174" s="7">
        <v>44239</v>
      </c>
      <c r="G174" s="8" t="s">
        <v>15</v>
      </c>
      <c r="H174" s="8" t="s">
        <v>13</v>
      </c>
      <c r="I174" s="8" t="s">
        <v>26</v>
      </c>
      <c r="J174" s="8" t="s">
        <v>27</v>
      </c>
      <c r="K174" s="9">
        <v>14</v>
      </c>
      <c r="L174" s="9">
        <v>315</v>
      </c>
      <c r="M174" s="9">
        <f t="shared" si="2"/>
        <v>4410</v>
      </c>
    </row>
    <row r="175" spans="6:13" x14ac:dyDescent="0.3">
      <c r="F175" s="7">
        <v>44239</v>
      </c>
      <c r="G175" s="8" t="s">
        <v>16</v>
      </c>
      <c r="H175" s="8" t="s">
        <v>9</v>
      </c>
      <c r="I175" s="8" t="s">
        <v>26</v>
      </c>
      <c r="J175" s="8" t="s">
        <v>27</v>
      </c>
      <c r="K175" s="9">
        <v>6</v>
      </c>
      <c r="L175" s="9">
        <v>1080</v>
      </c>
      <c r="M175" s="9">
        <f t="shared" si="2"/>
        <v>6480</v>
      </c>
    </row>
    <row r="176" spans="6:13" x14ac:dyDescent="0.3">
      <c r="F176" s="7">
        <v>44239</v>
      </c>
      <c r="G176" s="8" t="s">
        <v>17</v>
      </c>
      <c r="H176" s="8" t="s">
        <v>18</v>
      </c>
      <c r="I176" s="8" t="s">
        <v>28</v>
      </c>
      <c r="J176" s="8" t="s">
        <v>27</v>
      </c>
      <c r="K176" s="9">
        <v>5</v>
      </c>
      <c r="L176" s="9">
        <v>1575</v>
      </c>
      <c r="M176" s="9">
        <f t="shared" si="2"/>
        <v>7875</v>
      </c>
    </row>
    <row r="177" spans="6:13" x14ac:dyDescent="0.3">
      <c r="F177" s="7">
        <v>44239</v>
      </c>
      <c r="G177" s="8" t="s">
        <v>19</v>
      </c>
      <c r="H177" s="8" t="s">
        <v>18</v>
      </c>
      <c r="I177" s="8" t="s">
        <v>28</v>
      </c>
      <c r="J177" s="8" t="s">
        <v>27</v>
      </c>
      <c r="K177" s="9">
        <v>8</v>
      </c>
      <c r="L177" s="9">
        <v>790</v>
      </c>
      <c r="M177" s="9">
        <f t="shared" si="2"/>
        <v>6320</v>
      </c>
    </row>
    <row r="178" spans="6:13" x14ac:dyDescent="0.3">
      <c r="F178" s="7">
        <v>44239</v>
      </c>
      <c r="G178" s="8" t="s">
        <v>8</v>
      </c>
      <c r="H178" s="8" t="s">
        <v>9</v>
      </c>
      <c r="I178" s="8" t="s">
        <v>29</v>
      </c>
      <c r="J178" s="8" t="s">
        <v>30</v>
      </c>
      <c r="K178" s="9">
        <v>5</v>
      </c>
      <c r="L178" s="9">
        <v>2001</v>
      </c>
      <c r="M178" s="9">
        <f t="shared" si="2"/>
        <v>10005</v>
      </c>
    </row>
    <row r="179" spans="6:13" x14ac:dyDescent="0.3">
      <c r="F179" s="7">
        <v>44239</v>
      </c>
      <c r="G179" s="8" t="s">
        <v>12</v>
      </c>
      <c r="H179" s="8" t="s">
        <v>13</v>
      </c>
      <c r="I179" s="8" t="s">
        <v>31</v>
      </c>
      <c r="J179" s="8" t="s">
        <v>30</v>
      </c>
      <c r="K179" s="9">
        <v>31</v>
      </c>
      <c r="L179" s="9">
        <v>75</v>
      </c>
      <c r="M179" s="9">
        <f t="shared" si="2"/>
        <v>2325</v>
      </c>
    </row>
    <row r="180" spans="6:13" x14ac:dyDescent="0.3">
      <c r="F180" s="7">
        <v>44239</v>
      </c>
      <c r="G180" s="8" t="s">
        <v>15</v>
      </c>
      <c r="H180" s="8" t="s">
        <v>13</v>
      </c>
      <c r="I180" s="8" t="s">
        <v>31</v>
      </c>
      <c r="J180" s="8" t="s">
        <v>30</v>
      </c>
      <c r="K180" s="9">
        <v>8</v>
      </c>
      <c r="L180" s="9">
        <v>315</v>
      </c>
      <c r="M180" s="9">
        <f t="shared" si="2"/>
        <v>2520</v>
      </c>
    </row>
    <row r="181" spans="6:13" x14ac:dyDescent="0.3">
      <c r="F181" s="7">
        <v>44239</v>
      </c>
      <c r="G181" s="8" t="s">
        <v>16</v>
      </c>
      <c r="H181" s="8" t="s">
        <v>9</v>
      </c>
      <c r="I181" s="8" t="s">
        <v>29</v>
      </c>
      <c r="J181" s="8" t="s">
        <v>30</v>
      </c>
      <c r="K181" s="9">
        <v>2</v>
      </c>
      <c r="L181" s="9">
        <v>1080</v>
      </c>
      <c r="M181" s="9">
        <f t="shared" si="2"/>
        <v>2160</v>
      </c>
    </row>
    <row r="182" spans="6:13" x14ac:dyDescent="0.3">
      <c r="F182" s="7">
        <v>44239</v>
      </c>
      <c r="G182" s="8" t="s">
        <v>17</v>
      </c>
      <c r="H182" s="8" t="s">
        <v>18</v>
      </c>
      <c r="I182" s="8" t="s">
        <v>31</v>
      </c>
      <c r="J182" s="8" t="s">
        <v>30</v>
      </c>
      <c r="K182" s="9">
        <v>2</v>
      </c>
      <c r="L182" s="9">
        <v>1575</v>
      </c>
      <c r="M182" s="9">
        <f t="shared" si="2"/>
        <v>3150</v>
      </c>
    </row>
    <row r="183" spans="6:13" x14ac:dyDescent="0.3">
      <c r="F183" s="7">
        <v>44239</v>
      </c>
      <c r="G183" s="8" t="s">
        <v>19</v>
      </c>
      <c r="H183" s="8" t="s">
        <v>18</v>
      </c>
      <c r="I183" s="8" t="s">
        <v>31</v>
      </c>
      <c r="J183" s="8" t="s">
        <v>30</v>
      </c>
      <c r="K183" s="9">
        <v>5</v>
      </c>
      <c r="L183" s="9">
        <v>790</v>
      </c>
      <c r="M183" s="9">
        <f t="shared" si="2"/>
        <v>3950</v>
      </c>
    </row>
    <row r="184" spans="6:13" x14ac:dyDescent="0.3">
      <c r="F184" s="7">
        <v>44246</v>
      </c>
      <c r="G184" s="8" t="s">
        <v>8</v>
      </c>
      <c r="H184" s="8" t="s">
        <v>9</v>
      </c>
      <c r="I184" s="8" t="s">
        <v>10</v>
      </c>
      <c r="J184" s="8" t="s">
        <v>11</v>
      </c>
      <c r="K184" s="9">
        <v>6</v>
      </c>
      <c r="L184" s="9">
        <v>2001</v>
      </c>
      <c r="M184" s="9">
        <f t="shared" si="2"/>
        <v>12006</v>
      </c>
    </row>
    <row r="185" spans="6:13" x14ac:dyDescent="0.3">
      <c r="F185" s="7">
        <v>44246</v>
      </c>
      <c r="G185" s="8" t="s">
        <v>12</v>
      </c>
      <c r="H185" s="8" t="s">
        <v>13</v>
      </c>
      <c r="I185" s="8" t="s">
        <v>14</v>
      </c>
      <c r="J185" s="8" t="s">
        <v>11</v>
      </c>
      <c r="K185" s="9">
        <v>37</v>
      </c>
      <c r="L185" s="9">
        <v>75</v>
      </c>
      <c r="M185" s="9">
        <f t="shared" si="2"/>
        <v>2775</v>
      </c>
    </row>
    <row r="186" spans="6:13" x14ac:dyDescent="0.3">
      <c r="F186" s="7">
        <v>44246</v>
      </c>
      <c r="G186" s="8" t="s">
        <v>15</v>
      </c>
      <c r="H186" s="8" t="s">
        <v>13</v>
      </c>
      <c r="I186" s="8" t="s">
        <v>14</v>
      </c>
      <c r="J186" s="8" t="s">
        <v>11</v>
      </c>
      <c r="K186" s="9">
        <v>12</v>
      </c>
      <c r="L186" s="9">
        <v>315</v>
      </c>
      <c r="M186" s="9">
        <f t="shared" si="2"/>
        <v>3780</v>
      </c>
    </row>
    <row r="187" spans="6:13" x14ac:dyDescent="0.3">
      <c r="F187" s="7">
        <v>44246</v>
      </c>
      <c r="G187" s="8" t="s">
        <v>16</v>
      </c>
      <c r="H187" s="8" t="s">
        <v>9</v>
      </c>
      <c r="I187" s="8" t="s">
        <v>10</v>
      </c>
      <c r="J187" s="8" t="s">
        <v>11</v>
      </c>
      <c r="K187" s="9">
        <v>4</v>
      </c>
      <c r="L187" s="9">
        <v>1080</v>
      </c>
      <c r="M187" s="9">
        <f t="shared" si="2"/>
        <v>4320</v>
      </c>
    </row>
    <row r="188" spans="6:13" x14ac:dyDescent="0.3">
      <c r="F188" s="7">
        <v>44246</v>
      </c>
      <c r="G188" s="8" t="s">
        <v>17</v>
      </c>
      <c r="H188" s="8" t="s">
        <v>18</v>
      </c>
      <c r="I188" s="8" t="s">
        <v>10</v>
      </c>
      <c r="J188" s="8" t="s">
        <v>11</v>
      </c>
      <c r="K188" s="9">
        <v>6</v>
      </c>
      <c r="L188" s="9">
        <v>1575</v>
      </c>
      <c r="M188" s="9">
        <f t="shared" si="2"/>
        <v>9450</v>
      </c>
    </row>
    <row r="189" spans="6:13" x14ac:dyDescent="0.3">
      <c r="F189" s="7">
        <v>44246</v>
      </c>
      <c r="G189" s="8" t="s">
        <v>19</v>
      </c>
      <c r="H189" s="8" t="s">
        <v>18</v>
      </c>
      <c r="I189" s="8" t="s">
        <v>10</v>
      </c>
      <c r="J189" s="8" t="s">
        <v>11</v>
      </c>
      <c r="K189" s="9">
        <v>6</v>
      </c>
      <c r="L189" s="9">
        <v>790</v>
      </c>
      <c r="M189" s="9">
        <f t="shared" si="2"/>
        <v>4740</v>
      </c>
    </row>
    <row r="190" spans="6:13" x14ac:dyDescent="0.3">
      <c r="F190" s="7">
        <v>44246</v>
      </c>
      <c r="G190" s="8" t="s">
        <v>8</v>
      </c>
      <c r="H190" s="8" t="s">
        <v>9</v>
      </c>
      <c r="I190" s="8" t="s">
        <v>20</v>
      </c>
      <c r="J190" s="8" t="s">
        <v>21</v>
      </c>
      <c r="K190" s="9">
        <v>3</v>
      </c>
      <c r="L190" s="9">
        <v>2001</v>
      </c>
      <c r="M190" s="9">
        <f t="shared" si="2"/>
        <v>6003</v>
      </c>
    </row>
    <row r="191" spans="6:13" x14ac:dyDescent="0.3">
      <c r="F191" s="7">
        <v>44246</v>
      </c>
      <c r="G191" s="8" t="s">
        <v>12</v>
      </c>
      <c r="H191" s="8" t="s">
        <v>13</v>
      </c>
      <c r="I191" s="8" t="s">
        <v>22</v>
      </c>
      <c r="J191" s="8" t="s">
        <v>21</v>
      </c>
      <c r="K191" s="9">
        <v>70</v>
      </c>
      <c r="L191" s="9">
        <v>75</v>
      </c>
      <c r="M191" s="9">
        <f t="shared" si="2"/>
        <v>5250</v>
      </c>
    </row>
    <row r="192" spans="6:13" x14ac:dyDescent="0.3">
      <c r="F192" s="7">
        <v>44246</v>
      </c>
      <c r="G192" s="8" t="s">
        <v>15</v>
      </c>
      <c r="H192" s="8" t="s">
        <v>13</v>
      </c>
      <c r="I192" s="8" t="s">
        <v>22</v>
      </c>
      <c r="J192" s="8" t="s">
        <v>21</v>
      </c>
      <c r="K192" s="9">
        <v>15</v>
      </c>
      <c r="L192" s="9">
        <v>315</v>
      </c>
      <c r="M192" s="9">
        <f t="shared" si="2"/>
        <v>4725</v>
      </c>
    </row>
    <row r="193" spans="6:13" x14ac:dyDescent="0.3">
      <c r="F193" s="7">
        <v>44246</v>
      </c>
      <c r="G193" s="8" t="s">
        <v>16</v>
      </c>
      <c r="H193" s="8" t="s">
        <v>9</v>
      </c>
      <c r="I193" s="8" t="s">
        <v>20</v>
      </c>
      <c r="J193" s="8" t="s">
        <v>21</v>
      </c>
      <c r="K193" s="9">
        <v>6</v>
      </c>
      <c r="L193" s="9">
        <v>1080</v>
      </c>
      <c r="M193" s="9">
        <f t="shared" si="2"/>
        <v>6480</v>
      </c>
    </row>
    <row r="194" spans="6:13" x14ac:dyDescent="0.3">
      <c r="F194" s="7">
        <v>44246</v>
      </c>
      <c r="G194" s="8" t="s">
        <v>17</v>
      </c>
      <c r="H194" s="8" t="s">
        <v>18</v>
      </c>
      <c r="I194" s="8" t="s">
        <v>20</v>
      </c>
      <c r="J194" s="8" t="s">
        <v>21</v>
      </c>
      <c r="K194" s="9">
        <v>6</v>
      </c>
      <c r="L194" s="9">
        <v>1575</v>
      </c>
      <c r="M194" s="9">
        <f t="shared" si="2"/>
        <v>9450</v>
      </c>
    </row>
    <row r="195" spans="6:13" x14ac:dyDescent="0.3">
      <c r="F195" s="7">
        <v>44246</v>
      </c>
      <c r="G195" s="8" t="s">
        <v>19</v>
      </c>
      <c r="H195" s="8" t="s">
        <v>18</v>
      </c>
      <c r="I195" s="8" t="s">
        <v>20</v>
      </c>
      <c r="J195" s="8" t="s">
        <v>21</v>
      </c>
      <c r="K195" s="9">
        <v>10</v>
      </c>
      <c r="L195" s="9">
        <v>790</v>
      </c>
      <c r="M195" s="9">
        <f t="shared" si="2"/>
        <v>7900</v>
      </c>
    </row>
    <row r="196" spans="6:13" x14ac:dyDescent="0.3">
      <c r="F196" s="7">
        <v>44246</v>
      </c>
      <c r="G196" s="8" t="s">
        <v>8</v>
      </c>
      <c r="H196" s="8" t="s">
        <v>9</v>
      </c>
      <c r="I196" s="8" t="s">
        <v>23</v>
      </c>
      <c r="J196" s="8" t="s">
        <v>24</v>
      </c>
      <c r="K196" s="9">
        <v>2</v>
      </c>
      <c r="L196" s="9">
        <v>2001</v>
      </c>
      <c r="M196" s="9">
        <f t="shared" ref="M196:M259" si="3">K196*L196</f>
        <v>4002</v>
      </c>
    </row>
    <row r="197" spans="6:13" x14ac:dyDescent="0.3">
      <c r="F197" s="7">
        <v>44246</v>
      </c>
      <c r="G197" s="8" t="s">
        <v>12</v>
      </c>
      <c r="H197" s="8" t="s">
        <v>13</v>
      </c>
      <c r="I197" s="8" t="s">
        <v>25</v>
      </c>
      <c r="J197" s="8" t="s">
        <v>24</v>
      </c>
      <c r="K197" s="9">
        <v>41</v>
      </c>
      <c r="L197" s="9">
        <v>75</v>
      </c>
      <c r="M197" s="9">
        <f t="shared" si="3"/>
        <v>3075</v>
      </c>
    </row>
    <row r="198" spans="6:13" x14ac:dyDescent="0.3">
      <c r="F198" s="7">
        <v>44246</v>
      </c>
      <c r="G198" s="8" t="s">
        <v>15</v>
      </c>
      <c r="H198" s="8" t="s">
        <v>13</v>
      </c>
      <c r="I198" s="8" t="s">
        <v>25</v>
      </c>
      <c r="J198" s="8" t="s">
        <v>24</v>
      </c>
      <c r="K198" s="9">
        <v>4</v>
      </c>
      <c r="L198" s="9">
        <v>315</v>
      </c>
      <c r="M198" s="9">
        <f t="shared" si="3"/>
        <v>1260</v>
      </c>
    </row>
    <row r="199" spans="6:13" x14ac:dyDescent="0.3">
      <c r="F199" s="7">
        <v>44246</v>
      </c>
      <c r="G199" s="8" t="s">
        <v>16</v>
      </c>
      <c r="H199" s="8" t="s">
        <v>9</v>
      </c>
      <c r="I199" s="8" t="s">
        <v>23</v>
      </c>
      <c r="J199" s="8" t="s">
        <v>24</v>
      </c>
      <c r="K199" s="9">
        <v>2</v>
      </c>
      <c r="L199" s="9">
        <v>1080</v>
      </c>
      <c r="M199" s="9">
        <f t="shared" si="3"/>
        <v>2160</v>
      </c>
    </row>
    <row r="200" spans="6:13" x14ac:dyDescent="0.3">
      <c r="F200" s="7">
        <v>44246</v>
      </c>
      <c r="G200" s="8" t="s">
        <v>17</v>
      </c>
      <c r="H200" s="8" t="s">
        <v>18</v>
      </c>
      <c r="I200" s="8" t="s">
        <v>25</v>
      </c>
      <c r="J200" s="8" t="s">
        <v>24</v>
      </c>
      <c r="K200" s="9">
        <v>2</v>
      </c>
      <c r="L200" s="9">
        <v>1575</v>
      </c>
      <c r="M200" s="9">
        <f t="shared" si="3"/>
        <v>3150</v>
      </c>
    </row>
    <row r="201" spans="6:13" x14ac:dyDescent="0.3">
      <c r="F201" s="7">
        <v>44246</v>
      </c>
      <c r="G201" s="8" t="s">
        <v>19</v>
      </c>
      <c r="H201" s="8" t="s">
        <v>18</v>
      </c>
      <c r="I201" s="8" t="s">
        <v>25</v>
      </c>
      <c r="J201" s="8" t="s">
        <v>24</v>
      </c>
      <c r="K201" s="9">
        <v>6</v>
      </c>
      <c r="L201" s="9">
        <v>790</v>
      </c>
      <c r="M201" s="9">
        <f t="shared" si="3"/>
        <v>4740</v>
      </c>
    </row>
    <row r="202" spans="6:13" x14ac:dyDescent="0.3">
      <c r="F202" s="7">
        <v>44246</v>
      </c>
      <c r="G202" s="8" t="s">
        <v>8</v>
      </c>
      <c r="H202" s="8" t="s">
        <v>9</v>
      </c>
      <c r="I202" s="8" t="s">
        <v>26</v>
      </c>
      <c r="J202" s="8" t="s">
        <v>27</v>
      </c>
      <c r="K202" s="9">
        <v>4</v>
      </c>
      <c r="L202" s="9">
        <v>2001</v>
      </c>
      <c r="M202" s="9">
        <f t="shared" si="3"/>
        <v>8004</v>
      </c>
    </row>
    <row r="203" spans="6:13" x14ac:dyDescent="0.3">
      <c r="F203" s="7">
        <v>44246</v>
      </c>
      <c r="G203" s="8" t="s">
        <v>12</v>
      </c>
      <c r="H203" s="8" t="s">
        <v>13</v>
      </c>
      <c r="I203" s="8" t="s">
        <v>28</v>
      </c>
      <c r="J203" s="8" t="s">
        <v>27</v>
      </c>
      <c r="K203" s="9">
        <v>49</v>
      </c>
      <c r="L203" s="9">
        <v>75</v>
      </c>
      <c r="M203" s="9">
        <f t="shared" si="3"/>
        <v>3675</v>
      </c>
    </row>
    <row r="204" spans="6:13" x14ac:dyDescent="0.3">
      <c r="F204" s="7">
        <v>44246</v>
      </c>
      <c r="G204" s="8" t="s">
        <v>15</v>
      </c>
      <c r="H204" s="8" t="s">
        <v>13</v>
      </c>
      <c r="I204" s="8" t="s">
        <v>28</v>
      </c>
      <c r="J204" s="8" t="s">
        <v>27</v>
      </c>
      <c r="K204" s="9">
        <v>13</v>
      </c>
      <c r="L204" s="9">
        <v>315</v>
      </c>
      <c r="M204" s="9">
        <f t="shared" si="3"/>
        <v>4095</v>
      </c>
    </row>
    <row r="205" spans="6:13" x14ac:dyDescent="0.3">
      <c r="F205" s="7">
        <v>44246</v>
      </c>
      <c r="G205" s="8" t="s">
        <v>16</v>
      </c>
      <c r="H205" s="8" t="s">
        <v>9</v>
      </c>
      <c r="I205" s="8" t="s">
        <v>26</v>
      </c>
      <c r="J205" s="8" t="s">
        <v>27</v>
      </c>
      <c r="K205" s="9">
        <v>4</v>
      </c>
      <c r="L205" s="9">
        <v>1080</v>
      </c>
      <c r="M205" s="9">
        <f t="shared" si="3"/>
        <v>4320</v>
      </c>
    </row>
    <row r="206" spans="6:13" x14ac:dyDescent="0.3">
      <c r="F206" s="7">
        <v>44246</v>
      </c>
      <c r="G206" s="8" t="s">
        <v>17</v>
      </c>
      <c r="H206" s="8" t="s">
        <v>18</v>
      </c>
      <c r="I206" s="8" t="s">
        <v>28</v>
      </c>
      <c r="J206" s="8" t="s">
        <v>27</v>
      </c>
      <c r="K206" s="9">
        <v>3</v>
      </c>
      <c r="L206" s="9">
        <v>1575</v>
      </c>
      <c r="M206" s="9">
        <f t="shared" si="3"/>
        <v>4725</v>
      </c>
    </row>
    <row r="207" spans="6:13" x14ac:dyDescent="0.3">
      <c r="F207" s="7">
        <v>44246</v>
      </c>
      <c r="G207" s="8" t="s">
        <v>19</v>
      </c>
      <c r="H207" s="8" t="s">
        <v>18</v>
      </c>
      <c r="I207" s="8" t="s">
        <v>28</v>
      </c>
      <c r="J207" s="8" t="s">
        <v>27</v>
      </c>
      <c r="K207" s="9">
        <v>6</v>
      </c>
      <c r="L207" s="9">
        <v>790</v>
      </c>
      <c r="M207" s="9">
        <f t="shared" si="3"/>
        <v>4740</v>
      </c>
    </row>
    <row r="208" spans="6:13" x14ac:dyDescent="0.3">
      <c r="F208" s="7">
        <v>44246</v>
      </c>
      <c r="G208" s="8" t="s">
        <v>8</v>
      </c>
      <c r="H208" s="8" t="s">
        <v>9</v>
      </c>
      <c r="I208" s="8" t="s">
        <v>29</v>
      </c>
      <c r="J208" s="8" t="s">
        <v>30</v>
      </c>
      <c r="K208" s="9">
        <v>6</v>
      </c>
      <c r="L208" s="9">
        <v>2001</v>
      </c>
      <c r="M208" s="9">
        <f t="shared" si="3"/>
        <v>12006</v>
      </c>
    </row>
    <row r="209" spans="6:13" x14ac:dyDescent="0.3">
      <c r="F209" s="7">
        <v>44246</v>
      </c>
      <c r="G209" s="8" t="s">
        <v>12</v>
      </c>
      <c r="H209" s="8" t="s">
        <v>13</v>
      </c>
      <c r="I209" s="8" t="s">
        <v>31</v>
      </c>
      <c r="J209" s="8" t="s">
        <v>30</v>
      </c>
      <c r="K209" s="9">
        <v>58</v>
      </c>
      <c r="L209" s="9">
        <v>75</v>
      </c>
      <c r="M209" s="9">
        <f t="shared" si="3"/>
        <v>4350</v>
      </c>
    </row>
    <row r="210" spans="6:13" x14ac:dyDescent="0.3">
      <c r="F210" s="7">
        <v>44246</v>
      </c>
      <c r="G210" s="8" t="s">
        <v>15</v>
      </c>
      <c r="H210" s="8" t="s">
        <v>13</v>
      </c>
      <c r="I210" s="8" t="s">
        <v>31</v>
      </c>
      <c r="J210" s="8" t="s">
        <v>30</v>
      </c>
      <c r="K210" s="9">
        <v>13</v>
      </c>
      <c r="L210" s="9">
        <v>315</v>
      </c>
      <c r="M210" s="9">
        <f t="shared" si="3"/>
        <v>4095</v>
      </c>
    </row>
    <row r="211" spans="6:13" x14ac:dyDescent="0.3">
      <c r="F211" s="7">
        <v>44246</v>
      </c>
      <c r="G211" s="8" t="s">
        <v>16</v>
      </c>
      <c r="H211" s="8" t="s">
        <v>9</v>
      </c>
      <c r="I211" s="8" t="s">
        <v>29</v>
      </c>
      <c r="J211" s="8" t="s">
        <v>30</v>
      </c>
      <c r="K211" s="9">
        <v>2</v>
      </c>
      <c r="L211" s="9">
        <v>1080</v>
      </c>
      <c r="M211" s="9">
        <f t="shared" si="3"/>
        <v>2160</v>
      </c>
    </row>
    <row r="212" spans="6:13" x14ac:dyDescent="0.3">
      <c r="F212" s="7">
        <v>44246</v>
      </c>
      <c r="G212" s="8" t="s">
        <v>17</v>
      </c>
      <c r="H212" s="8" t="s">
        <v>18</v>
      </c>
      <c r="I212" s="8" t="s">
        <v>31</v>
      </c>
      <c r="J212" s="8" t="s">
        <v>30</v>
      </c>
      <c r="K212" s="9">
        <v>2</v>
      </c>
      <c r="L212" s="9">
        <v>1575</v>
      </c>
      <c r="M212" s="9">
        <f t="shared" si="3"/>
        <v>3150</v>
      </c>
    </row>
    <row r="213" spans="6:13" x14ac:dyDescent="0.3">
      <c r="F213" s="7">
        <v>44246</v>
      </c>
      <c r="G213" s="8" t="s">
        <v>19</v>
      </c>
      <c r="H213" s="8" t="s">
        <v>18</v>
      </c>
      <c r="I213" s="8" t="s">
        <v>31</v>
      </c>
      <c r="J213" s="8" t="s">
        <v>30</v>
      </c>
      <c r="K213" s="9">
        <v>11</v>
      </c>
      <c r="L213" s="9">
        <v>790</v>
      </c>
      <c r="M213" s="9">
        <f t="shared" si="3"/>
        <v>8690</v>
      </c>
    </row>
    <row r="214" spans="6:13" x14ac:dyDescent="0.3">
      <c r="F214" s="7">
        <v>44253</v>
      </c>
      <c r="G214" s="8" t="s">
        <v>8</v>
      </c>
      <c r="H214" s="8" t="s">
        <v>9</v>
      </c>
      <c r="I214" s="8" t="s">
        <v>10</v>
      </c>
      <c r="J214" s="8" t="s">
        <v>11</v>
      </c>
      <c r="K214" s="9">
        <v>4</v>
      </c>
      <c r="L214" s="9">
        <v>2001</v>
      </c>
      <c r="M214" s="9">
        <f t="shared" si="3"/>
        <v>8004</v>
      </c>
    </row>
    <row r="215" spans="6:13" x14ac:dyDescent="0.3">
      <c r="F215" s="7">
        <v>44253</v>
      </c>
      <c r="G215" s="8" t="s">
        <v>12</v>
      </c>
      <c r="H215" s="8" t="s">
        <v>13</v>
      </c>
      <c r="I215" s="8" t="s">
        <v>14</v>
      </c>
      <c r="J215" s="8" t="s">
        <v>11</v>
      </c>
      <c r="K215" s="9">
        <v>31</v>
      </c>
      <c r="L215" s="9">
        <v>75</v>
      </c>
      <c r="M215" s="9">
        <f t="shared" si="3"/>
        <v>2325</v>
      </c>
    </row>
    <row r="216" spans="6:13" x14ac:dyDescent="0.3">
      <c r="F216" s="7">
        <v>44253</v>
      </c>
      <c r="G216" s="8" t="s">
        <v>15</v>
      </c>
      <c r="H216" s="8" t="s">
        <v>13</v>
      </c>
      <c r="I216" s="8" t="s">
        <v>14</v>
      </c>
      <c r="J216" s="8" t="s">
        <v>11</v>
      </c>
      <c r="K216" s="9">
        <v>9</v>
      </c>
      <c r="L216" s="9">
        <v>315</v>
      </c>
      <c r="M216" s="9">
        <f t="shared" si="3"/>
        <v>2835</v>
      </c>
    </row>
    <row r="217" spans="6:13" x14ac:dyDescent="0.3">
      <c r="F217" s="7">
        <v>44253</v>
      </c>
      <c r="G217" s="8" t="s">
        <v>16</v>
      </c>
      <c r="H217" s="8" t="s">
        <v>9</v>
      </c>
      <c r="I217" s="8" t="s">
        <v>10</v>
      </c>
      <c r="J217" s="8" t="s">
        <v>11</v>
      </c>
      <c r="K217" s="9">
        <v>2</v>
      </c>
      <c r="L217" s="9">
        <v>1080</v>
      </c>
      <c r="M217" s="9">
        <f t="shared" si="3"/>
        <v>2160</v>
      </c>
    </row>
    <row r="218" spans="6:13" x14ac:dyDescent="0.3">
      <c r="F218" s="7">
        <v>44253</v>
      </c>
      <c r="G218" s="8" t="s">
        <v>17</v>
      </c>
      <c r="H218" s="8" t="s">
        <v>18</v>
      </c>
      <c r="I218" s="8" t="s">
        <v>10</v>
      </c>
      <c r="J218" s="8" t="s">
        <v>11</v>
      </c>
      <c r="K218" s="9">
        <v>5</v>
      </c>
      <c r="L218" s="9">
        <v>1575</v>
      </c>
      <c r="M218" s="9">
        <f t="shared" si="3"/>
        <v>7875</v>
      </c>
    </row>
    <row r="219" spans="6:13" x14ac:dyDescent="0.3">
      <c r="F219" s="7">
        <v>44253</v>
      </c>
      <c r="G219" s="8" t="s">
        <v>19</v>
      </c>
      <c r="H219" s="8" t="s">
        <v>18</v>
      </c>
      <c r="I219" s="8" t="s">
        <v>10</v>
      </c>
      <c r="J219" s="8" t="s">
        <v>11</v>
      </c>
      <c r="K219" s="9">
        <v>9</v>
      </c>
      <c r="L219" s="9">
        <v>790</v>
      </c>
      <c r="M219" s="9">
        <f t="shared" si="3"/>
        <v>7110</v>
      </c>
    </row>
    <row r="220" spans="6:13" x14ac:dyDescent="0.3">
      <c r="F220" s="7">
        <v>44253</v>
      </c>
      <c r="G220" s="8" t="s">
        <v>8</v>
      </c>
      <c r="H220" s="8" t="s">
        <v>9</v>
      </c>
      <c r="I220" s="8" t="s">
        <v>20</v>
      </c>
      <c r="J220" s="8" t="s">
        <v>21</v>
      </c>
      <c r="K220" s="9">
        <v>3</v>
      </c>
      <c r="L220" s="9">
        <v>2001</v>
      </c>
      <c r="M220" s="9">
        <f t="shared" si="3"/>
        <v>6003</v>
      </c>
    </row>
    <row r="221" spans="6:13" x14ac:dyDescent="0.3">
      <c r="F221" s="7">
        <v>44253</v>
      </c>
      <c r="G221" s="8" t="s">
        <v>12</v>
      </c>
      <c r="H221" s="8" t="s">
        <v>13</v>
      </c>
      <c r="I221" s="8" t="s">
        <v>22</v>
      </c>
      <c r="J221" s="8" t="s">
        <v>21</v>
      </c>
      <c r="K221" s="9">
        <v>56</v>
      </c>
      <c r="L221" s="9">
        <v>75</v>
      </c>
      <c r="M221" s="9">
        <f t="shared" si="3"/>
        <v>4200</v>
      </c>
    </row>
    <row r="222" spans="6:13" x14ac:dyDescent="0.3">
      <c r="F222" s="7">
        <v>44253</v>
      </c>
      <c r="G222" s="8" t="s">
        <v>15</v>
      </c>
      <c r="H222" s="8" t="s">
        <v>13</v>
      </c>
      <c r="I222" s="8" t="s">
        <v>22</v>
      </c>
      <c r="J222" s="8" t="s">
        <v>21</v>
      </c>
      <c r="K222" s="9">
        <v>15</v>
      </c>
      <c r="L222" s="9">
        <v>315</v>
      </c>
      <c r="M222" s="9">
        <f t="shared" si="3"/>
        <v>4725</v>
      </c>
    </row>
    <row r="223" spans="6:13" x14ac:dyDescent="0.3">
      <c r="F223" s="7">
        <v>44253</v>
      </c>
      <c r="G223" s="8" t="s">
        <v>16</v>
      </c>
      <c r="H223" s="8" t="s">
        <v>9</v>
      </c>
      <c r="I223" s="8" t="s">
        <v>20</v>
      </c>
      <c r="J223" s="8" t="s">
        <v>21</v>
      </c>
      <c r="K223" s="9">
        <v>4</v>
      </c>
      <c r="L223" s="9">
        <v>1080</v>
      </c>
      <c r="M223" s="9">
        <f t="shared" si="3"/>
        <v>4320</v>
      </c>
    </row>
    <row r="224" spans="6:13" x14ac:dyDescent="0.3">
      <c r="F224" s="7">
        <v>44253</v>
      </c>
      <c r="G224" s="8" t="s">
        <v>17</v>
      </c>
      <c r="H224" s="8" t="s">
        <v>18</v>
      </c>
      <c r="I224" s="8" t="s">
        <v>20</v>
      </c>
      <c r="J224" s="8" t="s">
        <v>21</v>
      </c>
      <c r="K224" s="9">
        <v>3</v>
      </c>
      <c r="L224" s="9">
        <v>1575</v>
      </c>
      <c r="M224" s="9">
        <f t="shared" si="3"/>
        <v>4725</v>
      </c>
    </row>
    <row r="225" spans="6:13" x14ac:dyDescent="0.3">
      <c r="F225" s="7">
        <v>44253</v>
      </c>
      <c r="G225" s="8" t="s">
        <v>19</v>
      </c>
      <c r="H225" s="8" t="s">
        <v>18</v>
      </c>
      <c r="I225" s="8" t="s">
        <v>20</v>
      </c>
      <c r="J225" s="8" t="s">
        <v>21</v>
      </c>
      <c r="K225" s="9">
        <v>10</v>
      </c>
      <c r="L225" s="9">
        <v>790</v>
      </c>
      <c r="M225" s="9">
        <f t="shared" si="3"/>
        <v>7900</v>
      </c>
    </row>
    <row r="226" spans="6:13" x14ac:dyDescent="0.3">
      <c r="F226" s="7">
        <v>44253</v>
      </c>
      <c r="G226" s="8" t="s">
        <v>8</v>
      </c>
      <c r="H226" s="8" t="s">
        <v>9</v>
      </c>
      <c r="I226" s="8" t="s">
        <v>23</v>
      </c>
      <c r="J226" s="8" t="s">
        <v>24</v>
      </c>
      <c r="K226" s="9">
        <v>5</v>
      </c>
      <c r="L226" s="9">
        <v>2001</v>
      </c>
      <c r="M226" s="9">
        <f t="shared" si="3"/>
        <v>10005</v>
      </c>
    </row>
    <row r="227" spans="6:13" x14ac:dyDescent="0.3">
      <c r="F227" s="7">
        <v>44253</v>
      </c>
      <c r="G227" s="8" t="s">
        <v>12</v>
      </c>
      <c r="H227" s="8" t="s">
        <v>13</v>
      </c>
      <c r="I227" s="8" t="s">
        <v>25</v>
      </c>
      <c r="J227" s="8" t="s">
        <v>24</v>
      </c>
      <c r="K227" s="9">
        <v>34</v>
      </c>
      <c r="L227" s="9">
        <v>75</v>
      </c>
      <c r="M227" s="9">
        <f t="shared" si="3"/>
        <v>2550</v>
      </c>
    </row>
    <row r="228" spans="6:13" x14ac:dyDescent="0.3">
      <c r="F228" s="7">
        <v>44253</v>
      </c>
      <c r="G228" s="8" t="s">
        <v>15</v>
      </c>
      <c r="H228" s="8" t="s">
        <v>13</v>
      </c>
      <c r="I228" s="8" t="s">
        <v>25</v>
      </c>
      <c r="J228" s="8" t="s">
        <v>24</v>
      </c>
      <c r="K228" s="9">
        <v>10</v>
      </c>
      <c r="L228" s="9">
        <v>315</v>
      </c>
      <c r="M228" s="9">
        <f t="shared" si="3"/>
        <v>3150</v>
      </c>
    </row>
    <row r="229" spans="6:13" x14ac:dyDescent="0.3">
      <c r="F229" s="7">
        <v>44253</v>
      </c>
      <c r="G229" s="8" t="s">
        <v>16</v>
      </c>
      <c r="H229" s="8" t="s">
        <v>9</v>
      </c>
      <c r="I229" s="8" t="s">
        <v>23</v>
      </c>
      <c r="J229" s="8" t="s">
        <v>24</v>
      </c>
      <c r="K229" s="9">
        <v>1</v>
      </c>
      <c r="L229" s="9">
        <v>1080</v>
      </c>
      <c r="M229" s="9">
        <f t="shared" si="3"/>
        <v>1080</v>
      </c>
    </row>
    <row r="230" spans="6:13" x14ac:dyDescent="0.3">
      <c r="F230" s="7">
        <v>44253</v>
      </c>
      <c r="G230" s="8" t="s">
        <v>17</v>
      </c>
      <c r="H230" s="8" t="s">
        <v>18</v>
      </c>
      <c r="I230" s="8" t="s">
        <v>25</v>
      </c>
      <c r="J230" s="8" t="s">
        <v>24</v>
      </c>
      <c r="K230" s="9">
        <v>5</v>
      </c>
      <c r="L230" s="9">
        <v>1575</v>
      </c>
      <c r="M230" s="9">
        <f t="shared" si="3"/>
        <v>7875</v>
      </c>
    </row>
    <row r="231" spans="6:13" x14ac:dyDescent="0.3">
      <c r="F231" s="7">
        <v>44253</v>
      </c>
      <c r="G231" s="8" t="s">
        <v>19</v>
      </c>
      <c r="H231" s="8" t="s">
        <v>18</v>
      </c>
      <c r="I231" s="8" t="s">
        <v>25</v>
      </c>
      <c r="J231" s="8" t="s">
        <v>24</v>
      </c>
      <c r="K231" s="9">
        <v>6</v>
      </c>
      <c r="L231" s="9">
        <v>790</v>
      </c>
      <c r="M231" s="9">
        <f t="shared" si="3"/>
        <v>4740</v>
      </c>
    </row>
    <row r="232" spans="6:13" x14ac:dyDescent="0.3">
      <c r="F232" s="7">
        <v>44253</v>
      </c>
      <c r="G232" s="8" t="s">
        <v>8</v>
      </c>
      <c r="H232" s="8" t="s">
        <v>9</v>
      </c>
      <c r="I232" s="8" t="s">
        <v>26</v>
      </c>
      <c r="J232" s="8" t="s">
        <v>27</v>
      </c>
      <c r="K232" s="9">
        <v>4</v>
      </c>
      <c r="L232" s="9">
        <v>2001</v>
      </c>
      <c r="M232" s="9">
        <f t="shared" si="3"/>
        <v>8004</v>
      </c>
    </row>
    <row r="233" spans="6:13" x14ac:dyDescent="0.3">
      <c r="F233" s="7">
        <v>44253</v>
      </c>
      <c r="G233" s="8" t="s">
        <v>12</v>
      </c>
      <c r="H233" s="8" t="s">
        <v>13</v>
      </c>
      <c r="I233" s="8" t="s">
        <v>28</v>
      </c>
      <c r="J233" s="8" t="s">
        <v>27</v>
      </c>
      <c r="K233" s="9">
        <v>49</v>
      </c>
      <c r="L233" s="9">
        <v>75</v>
      </c>
      <c r="M233" s="9">
        <f t="shared" si="3"/>
        <v>3675</v>
      </c>
    </row>
    <row r="234" spans="6:13" x14ac:dyDescent="0.3">
      <c r="F234" s="7">
        <v>44253</v>
      </c>
      <c r="G234" s="8" t="s">
        <v>15</v>
      </c>
      <c r="H234" s="8" t="s">
        <v>13</v>
      </c>
      <c r="I234" s="8" t="s">
        <v>28</v>
      </c>
      <c r="J234" s="8" t="s">
        <v>27</v>
      </c>
      <c r="K234" s="9">
        <v>10</v>
      </c>
      <c r="L234" s="9">
        <v>315</v>
      </c>
      <c r="M234" s="9">
        <f t="shared" si="3"/>
        <v>3150</v>
      </c>
    </row>
    <row r="235" spans="6:13" x14ac:dyDescent="0.3">
      <c r="F235" s="7">
        <v>44253</v>
      </c>
      <c r="G235" s="8" t="s">
        <v>16</v>
      </c>
      <c r="H235" s="8" t="s">
        <v>9</v>
      </c>
      <c r="I235" s="8" t="s">
        <v>26</v>
      </c>
      <c r="J235" s="8" t="s">
        <v>27</v>
      </c>
      <c r="K235" s="9">
        <v>6</v>
      </c>
      <c r="L235" s="9">
        <v>1080</v>
      </c>
      <c r="M235" s="9">
        <f t="shared" si="3"/>
        <v>6480</v>
      </c>
    </row>
    <row r="236" spans="6:13" x14ac:dyDescent="0.3">
      <c r="F236" s="7">
        <v>44253</v>
      </c>
      <c r="G236" s="8" t="s">
        <v>17</v>
      </c>
      <c r="H236" s="8" t="s">
        <v>18</v>
      </c>
      <c r="I236" s="8" t="s">
        <v>28</v>
      </c>
      <c r="J236" s="8" t="s">
        <v>27</v>
      </c>
      <c r="K236" s="9">
        <v>5</v>
      </c>
      <c r="L236" s="9">
        <v>1575</v>
      </c>
      <c r="M236" s="9">
        <f t="shared" si="3"/>
        <v>7875</v>
      </c>
    </row>
    <row r="237" spans="6:13" x14ac:dyDescent="0.3">
      <c r="F237" s="7">
        <v>44253</v>
      </c>
      <c r="G237" s="8" t="s">
        <v>19</v>
      </c>
      <c r="H237" s="8" t="s">
        <v>18</v>
      </c>
      <c r="I237" s="8" t="s">
        <v>28</v>
      </c>
      <c r="J237" s="8" t="s">
        <v>27</v>
      </c>
      <c r="K237" s="9">
        <v>8</v>
      </c>
      <c r="L237" s="9">
        <v>790</v>
      </c>
      <c r="M237" s="9">
        <f t="shared" si="3"/>
        <v>6320</v>
      </c>
    </row>
    <row r="238" spans="6:13" x14ac:dyDescent="0.3">
      <c r="F238" s="7">
        <v>44253</v>
      </c>
      <c r="G238" s="8" t="s">
        <v>8</v>
      </c>
      <c r="H238" s="8" t="s">
        <v>9</v>
      </c>
      <c r="I238" s="8" t="s">
        <v>29</v>
      </c>
      <c r="J238" s="8" t="s">
        <v>30</v>
      </c>
      <c r="K238" s="9">
        <v>5</v>
      </c>
      <c r="L238" s="9">
        <v>2001</v>
      </c>
      <c r="M238" s="9">
        <f t="shared" si="3"/>
        <v>10005</v>
      </c>
    </row>
    <row r="239" spans="6:13" x14ac:dyDescent="0.3">
      <c r="F239" s="7">
        <v>44253</v>
      </c>
      <c r="G239" s="8" t="s">
        <v>12</v>
      </c>
      <c r="H239" s="8" t="s">
        <v>13</v>
      </c>
      <c r="I239" s="8" t="s">
        <v>31</v>
      </c>
      <c r="J239" s="8" t="s">
        <v>30</v>
      </c>
      <c r="K239" s="9">
        <v>45</v>
      </c>
      <c r="L239" s="9">
        <v>75</v>
      </c>
      <c r="M239" s="9">
        <f t="shared" si="3"/>
        <v>3375</v>
      </c>
    </row>
    <row r="240" spans="6:13" x14ac:dyDescent="0.3">
      <c r="F240" s="7">
        <v>44253</v>
      </c>
      <c r="G240" s="8" t="s">
        <v>15</v>
      </c>
      <c r="H240" s="8" t="s">
        <v>13</v>
      </c>
      <c r="I240" s="8" t="s">
        <v>31</v>
      </c>
      <c r="J240" s="8" t="s">
        <v>30</v>
      </c>
      <c r="K240" s="9">
        <v>11</v>
      </c>
      <c r="L240" s="9">
        <v>315</v>
      </c>
      <c r="M240" s="9">
        <f t="shared" si="3"/>
        <v>3465</v>
      </c>
    </row>
    <row r="241" spans="6:13" x14ac:dyDescent="0.3">
      <c r="F241" s="7">
        <v>44253</v>
      </c>
      <c r="G241" s="8" t="s">
        <v>16</v>
      </c>
      <c r="H241" s="8" t="s">
        <v>9</v>
      </c>
      <c r="I241" s="8" t="s">
        <v>29</v>
      </c>
      <c r="J241" s="8" t="s">
        <v>30</v>
      </c>
      <c r="K241" s="9">
        <v>6</v>
      </c>
      <c r="L241" s="9">
        <v>1080</v>
      </c>
      <c r="M241" s="9">
        <f t="shared" si="3"/>
        <v>6480</v>
      </c>
    </row>
    <row r="242" spans="6:13" x14ac:dyDescent="0.3">
      <c r="F242" s="7">
        <v>44253</v>
      </c>
      <c r="G242" s="8" t="s">
        <v>17</v>
      </c>
      <c r="H242" s="8" t="s">
        <v>18</v>
      </c>
      <c r="I242" s="8" t="s">
        <v>31</v>
      </c>
      <c r="J242" s="8" t="s">
        <v>30</v>
      </c>
      <c r="K242" s="9">
        <v>2</v>
      </c>
      <c r="L242" s="9">
        <v>1575</v>
      </c>
      <c r="M242" s="9">
        <f t="shared" si="3"/>
        <v>3150</v>
      </c>
    </row>
    <row r="243" spans="6:13" x14ac:dyDescent="0.3">
      <c r="F243" s="7">
        <v>44253</v>
      </c>
      <c r="G243" s="8" t="s">
        <v>19</v>
      </c>
      <c r="H243" s="8" t="s">
        <v>18</v>
      </c>
      <c r="I243" s="8" t="s">
        <v>31</v>
      </c>
      <c r="J243" s="8" t="s">
        <v>30</v>
      </c>
      <c r="K243" s="9">
        <v>7</v>
      </c>
      <c r="L243" s="9">
        <v>790</v>
      </c>
      <c r="M243" s="9">
        <f t="shared" si="3"/>
        <v>5530</v>
      </c>
    </row>
    <row r="244" spans="6:13" x14ac:dyDescent="0.3">
      <c r="F244" s="7">
        <v>44260</v>
      </c>
      <c r="G244" s="8" t="s">
        <v>8</v>
      </c>
      <c r="H244" s="8" t="s">
        <v>9</v>
      </c>
      <c r="I244" s="8" t="s">
        <v>10</v>
      </c>
      <c r="J244" s="8" t="s">
        <v>11</v>
      </c>
      <c r="K244" s="9">
        <v>3</v>
      </c>
      <c r="L244" s="9">
        <v>2001</v>
      </c>
      <c r="M244" s="9">
        <f t="shared" si="3"/>
        <v>6003</v>
      </c>
    </row>
    <row r="245" spans="6:13" x14ac:dyDescent="0.3">
      <c r="F245" s="7">
        <v>44260</v>
      </c>
      <c r="G245" s="8" t="s">
        <v>12</v>
      </c>
      <c r="H245" s="8" t="s">
        <v>13</v>
      </c>
      <c r="I245" s="8" t="s">
        <v>14</v>
      </c>
      <c r="J245" s="8" t="s">
        <v>11</v>
      </c>
      <c r="K245" s="9">
        <v>57</v>
      </c>
      <c r="L245" s="9">
        <v>75</v>
      </c>
      <c r="M245" s="9">
        <f t="shared" si="3"/>
        <v>4275</v>
      </c>
    </row>
    <row r="246" spans="6:13" x14ac:dyDescent="0.3">
      <c r="F246" s="7">
        <v>44260</v>
      </c>
      <c r="G246" s="8" t="s">
        <v>15</v>
      </c>
      <c r="H246" s="8" t="s">
        <v>13</v>
      </c>
      <c r="I246" s="8" t="s">
        <v>14</v>
      </c>
      <c r="J246" s="8" t="s">
        <v>11</v>
      </c>
      <c r="K246" s="9">
        <v>11</v>
      </c>
      <c r="L246" s="9">
        <v>315</v>
      </c>
      <c r="M246" s="9">
        <f t="shared" si="3"/>
        <v>3465</v>
      </c>
    </row>
    <row r="247" spans="6:13" x14ac:dyDescent="0.3">
      <c r="F247" s="7">
        <v>44260</v>
      </c>
      <c r="G247" s="8" t="s">
        <v>16</v>
      </c>
      <c r="H247" s="8" t="s">
        <v>9</v>
      </c>
      <c r="I247" s="8" t="s">
        <v>10</v>
      </c>
      <c r="J247" s="8" t="s">
        <v>11</v>
      </c>
      <c r="K247" s="9">
        <v>5</v>
      </c>
      <c r="L247" s="9">
        <v>1080</v>
      </c>
      <c r="M247" s="9">
        <f t="shared" si="3"/>
        <v>5400</v>
      </c>
    </row>
    <row r="248" spans="6:13" x14ac:dyDescent="0.3">
      <c r="F248" s="7">
        <v>44260</v>
      </c>
      <c r="G248" s="8" t="s">
        <v>17</v>
      </c>
      <c r="H248" s="8" t="s">
        <v>18</v>
      </c>
      <c r="I248" s="8" t="s">
        <v>10</v>
      </c>
      <c r="J248" s="8" t="s">
        <v>11</v>
      </c>
      <c r="K248" s="9">
        <v>4</v>
      </c>
      <c r="L248" s="9">
        <v>1575</v>
      </c>
      <c r="M248" s="9">
        <f t="shared" si="3"/>
        <v>6300</v>
      </c>
    </row>
    <row r="249" spans="6:13" x14ac:dyDescent="0.3">
      <c r="F249" s="7">
        <v>44260</v>
      </c>
      <c r="G249" s="8" t="s">
        <v>19</v>
      </c>
      <c r="H249" s="8" t="s">
        <v>18</v>
      </c>
      <c r="I249" s="8" t="s">
        <v>10</v>
      </c>
      <c r="J249" s="8" t="s">
        <v>11</v>
      </c>
      <c r="K249" s="9">
        <v>9</v>
      </c>
      <c r="L249" s="9">
        <v>790</v>
      </c>
      <c r="M249" s="9">
        <f t="shared" si="3"/>
        <v>7110</v>
      </c>
    </row>
    <row r="250" spans="6:13" x14ac:dyDescent="0.3">
      <c r="F250" s="7">
        <v>44260</v>
      </c>
      <c r="G250" s="8" t="s">
        <v>8</v>
      </c>
      <c r="H250" s="8" t="s">
        <v>9</v>
      </c>
      <c r="I250" s="8" t="s">
        <v>20</v>
      </c>
      <c r="J250" s="8" t="s">
        <v>21</v>
      </c>
      <c r="K250" s="9">
        <v>6</v>
      </c>
      <c r="L250" s="9">
        <v>2001</v>
      </c>
      <c r="M250" s="9">
        <f t="shared" si="3"/>
        <v>12006</v>
      </c>
    </row>
    <row r="251" spans="6:13" x14ac:dyDescent="0.3">
      <c r="F251" s="7">
        <v>44260</v>
      </c>
      <c r="G251" s="8" t="s">
        <v>12</v>
      </c>
      <c r="H251" s="8" t="s">
        <v>13</v>
      </c>
      <c r="I251" s="8" t="s">
        <v>22</v>
      </c>
      <c r="J251" s="8" t="s">
        <v>21</v>
      </c>
      <c r="K251" s="9">
        <v>71</v>
      </c>
      <c r="L251" s="9">
        <v>75</v>
      </c>
      <c r="M251" s="9">
        <f t="shared" si="3"/>
        <v>5325</v>
      </c>
    </row>
    <row r="252" spans="6:13" x14ac:dyDescent="0.3">
      <c r="F252" s="7">
        <v>44260</v>
      </c>
      <c r="G252" s="8" t="s">
        <v>15</v>
      </c>
      <c r="H252" s="8" t="s">
        <v>13</v>
      </c>
      <c r="I252" s="8" t="s">
        <v>22</v>
      </c>
      <c r="J252" s="8" t="s">
        <v>21</v>
      </c>
      <c r="K252" s="9">
        <v>16</v>
      </c>
      <c r="L252" s="9">
        <v>315</v>
      </c>
      <c r="M252" s="9">
        <f t="shared" si="3"/>
        <v>5040</v>
      </c>
    </row>
    <row r="253" spans="6:13" x14ac:dyDescent="0.3">
      <c r="F253" s="7">
        <v>44260</v>
      </c>
      <c r="G253" s="8" t="s">
        <v>16</v>
      </c>
      <c r="H253" s="8" t="s">
        <v>9</v>
      </c>
      <c r="I253" s="8" t="s">
        <v>20</v>
      </c>
      <c r="J253" s="8" t="s">
        <v>21</v>
      </c>
      <c r="K253" s="9">
        <v>4</v>
      </c>
      <c r="L253" s="9">
        <v>1080</v>
      </c>
      <c r="M253" s="9">
        <f t="shared" si="3"/>
        <v>4320</v>
      </c>
    </row>
    <row r="254" spans="6:13" x14ac:dyDescent="0.3">
      <c r="F254" s="7">
        <v>44260</v>
      </c>
      <c r="G254" s="8" t="s">
        <v>17</v>
      </c>
      <c r="H254" s="8" t="s">
        <v>18</v>
      </c>
      <c r="I254" s="8" t="s">
        <v>20</v>
      </c>
      <c r="J254" s="8" t="s">
        <v>21</v>
      </c>
      <c r="K254" s="9">
        <v>2</v>
      </c>
      <c r="L254" s="9">
        <v>1575</v>
      </c>
      <c r="M254" s="9">
        <f t="shared" si="3"/>
        <v>3150</v>
      </c>
    </row>
    <row r="255" spans="6:13" x14ac:dyDescent="0.3">
      <c r="F255" s="7">
        <v>44260</v>
      </c>
      <c r="G255" s="8" t="s">
        <v>19</v>
      </c>
      <c r="H255" s="8" t="s">
        <v>18</v>
      </c>
      <c r="I255" s="8" t="s">
        <v>20</v>
      </c>
      <c r="J255" s="8" t="s">
        <v>21</v>
      </c>
      <c r="K255" s="9">
        <v>6</v>
      </c>
      <c r="L255" s="9">
        <v>790</v>
      </c>
      <c r="M255" s="9">
        <f t="shared" si="3"/>
        <v>4740</v>
      </c>
    </row>
    <row r="256" spans="6:13" x14ac:dyDescent="0.3">
      <c r="F256" s="7">
        <v>44260</v>
      </c>
      <c r="G256" s="8" t="s">
        <v>8</v>
      </c>
      <c r="H256" s="8" t="s">
        <v>9</v>
      </c>
      <c r="I256" s="8" t="s">
        <v>23</v>
      </c>
      <c r="J256" s="8" t="s">
        <v>24</v>
      </c>
      <c r="K256" s="9">
        <v>3</v>
      </c>
      <c r="L256" s="9">
        <v>2001</v>
      </c>
      <c r="M256" s="9">
        <f t="shared" si="3"/>
        <v>6003</v>
      </c>
    </row>
    <row r="257" spans="6:13" x14ac:dyDescent="0.3">
      <c r="F257" s="7">
        <v>44260</v>
      </c>
      <c r="G257" s="8" t="s">
        <v>12</v>
      </c>
      <c r="H257" s="8" t="s">
        <v>13</v>
      </c>
      <c r="I257" s="8" t="s">
        <v>25</v>
      </c>
      <c r="J257" s="8" t="s">
        <v>24</v>
      </c>
      <c r="K257" s="9">
        <v>35</v>
      </c>
      <c r="L257" s="9">
        <v>75</v>
      </c>
      <c r="M257" s="9">
        <f t="shared" si="3"/>
        <v>2625</v>
      </c>
    </row>
    <row r="258" spans="6:13" x14ac:dyDescent="0.3">
      <c r="F258" s="7">
        <v>44260</v>
      </c>
      <c r="G258" s="8" t="s">
        <v>15</v>
      </c>
      <c r="H258" s="8" t="s">
        <v>13</v>
      </c>
      <c r="I258" s="8" t="s">
        <v>25</v>
      </c>
      <c r="J258" s="8" t="s">
        <v>24</v>
      </c>
      <c r="K258" s="9">
        <v>5</v>
      </c>
      <c r="L258" s="9">
        <v>315</v>
      </c>
      <c r="M258" s="9">
        <f t="shared" si="3"/>
        <v>1575</v>
      </c>
    </row>
    <row r="259" spans="6:13" x14ac:dyDescent="0.3">
      <c r="F259" s="7">
        <v>44260</v>
      </c>
      <c r="G259" s="8" t="s">
        <v>16</v>
      </c>
      <c r="H259" s="8" t="s">
        <v>9</v>
      </c>
      <c r="I259" s="8" t="s">
        <v>23</v>
      </c>
      <c r="J259" s="8" t="s">
        <v>24</v>
      </c>
      <c r="K259" s="9">
        <v>1</v>
      </c>
      <c r="L259" s="9">
        <v>1080</v>
      </c>
      <c r="M259" s="9">
        <f t="shared" si="3"/>
        <v>1080</v>
      </c>
    </row>
    <row r="260" spans="6:13" x14ac:dyDescent="0.3">
      <c r="F260" s="7">
        <v>44260</v>
      </c>
      <c r="G260" s="8" t="s">
        <v>17</v>
      </c>
      <c r="H260" s="8" t="s">
        <v>18</v>
      </c>
      <c r="I260" s="8" t="s">
        <v>25</v>
      </c>
      <c r="J260" s="8" t="s">
        <v>24</v>
      </c>
      <c r="K260" s="9">
        <v>2</v>
      </c>
      <c r="L260" s="9">
        <v>1575</v>
      </c>
      <c r="M260" s="9">
        <f t="shared" ref="M260:M323" si="4">K260*L260</f>
        <v>3150</v>
      </c>
    </row>
    <row r="261" spans="6:13" x14ac:dyDescent="0.3">
      <c r="F261" s="7">
        <v>44260</v>
      </c>
      <c r="G261" s="8" t="s">
        <v>19</v>
      </c>
      <c r="H261" s="8" t="s">
        <v>18</v>
      </c>
      <c r="I261" s="8" t="s">
        <v>25</v>
      </c>
      <c r="J261" s="8" t="s">
        <v>24</v>
      </c>
      <c r="K261" s="9">
        <v>5</v>
      </c>
      <c r="L261" s="9">
        <v>790</v>
      </c>
      <c r="M261" s="9">
        <f t="shared" si="4"/>
        <v>3950</v>
      </c>
    </row>
    <row r="262" spans="6:13" x14ac:dyDescent="0.3">
      <c r="F262" s="7">
        <v>44260</v>
      </c>
      <c r="G262" s="8" t="s">
        <v>8</v>
      </c>
      <c r="H262" s="8" t="s">
        <v>9</v>
      </c>
      <c r="I262" s="8" t="s">
        <v>26</v>
      </c>
      <c r="J262" s="8" t="s">
        <v>27</v>
      </c>
      <c r="K262" s="9">
        <v>3</v>
      </c>
      <c r="L262" s="9">
        <v>2001</v>
      </c>
      <c r="M262" s="9">
        <f t="shared" si="4"/>
        <v>6003</v>
      </c>
    </row>
    <row r="263" spans="6:13" x14ac:dyDescent="0.3">
      <c r="F263" s="7">
        <v>44260</v>
      </c>
      <c r="G263" s="8" t="s">
        <v>12</v>
      </c>
      <c r="H263" s="8" t="s">
        <v>13</v>
      </c>
      <c r="I263" s="8" t="s">
        <v>28</v>
      </c>
      <c r="J263" s="8" t="s">
        <v>27</v>
      </c>
      <c r="K263" s="9">
        <v>33</v>
      </c>
      <c r="L263" s="9">
        <v>75</v>
      </c>
      <c r="M263" s="9">
        <f t="shared" si="4"/>
        <v>2475</v>
      </c>
    </row>
    <row r="264" spans="6:13" x14ac:dyDescent="0.3">
      <c r="F264" s="7">
        <v>44260</v>
      </c>
      <c r="G264" s="8" t="s">
        <v>15</v>
      </c>
      <c r="H264" s="8" t="s">
        <v>13</v>
      </c>
      <c r="I264" s="8" t="s">
        <v>28</v>
      </c>
      <c r="J264" s="8" t="s">
        <v>27</v>
      </c>
      <c r="K264" s="9">
        <v>15</v>
      </c>
      <c r="L264" s="9">
        <v>315</v>
      </c>
      <c r="M264" s="9">
        <f t="shared" si="4"/>
        <v>4725</v>
      </c>
    </row>
    <row r="265" spans="6:13" x14ac:dyDescent="0.3">
      <c r="F265" s="7">
        <v>44260</v>
      </c>
      <c r="G265" s="8" t="s">
        <v>16</v>
      </c>
      <c r="H265" s="8" t="s">
        <v>9</v>
      </c>
      <c r="I265" s="8" t="s">
        <v>26</v>
      </c>
      <c r="J265" s="8" t="s">
        <v>27</v>
      </c>
      <c r="K265" s="9">
        <v>5</v>
      </c>
      <c r="L265" s="9">
        <v>1080</v>
      </c>
      <c r="M265" s="9">
        <f t="shared" si="4"/>
        <v>5400</v>
      </c>
    </row>
    <row r="266" spans="6:13" x14ac:dyDescent="0.3">
      <c r="F266" s="7">
        <v>44260</v>
      </c>
      <c r="G266" s="8" t="s">
        <v>17</v>
      </c>
      <c r="H266" s="8" t="s">
        <v>18</v>
      </c>
      <c r="I266" s="8" t="s">
        <v>28</v>
      </c>
      <c r="J266" s="8" t="s">
        <v>27</v>
      </c>
      <c r="K266" s="9">
        <v>4</v>
      </c>
      <c r="L266" s="9">
        <v>1575</v>
      </c>
      <c r="M266" s="9">
        <f t="shared" si="4"/>
        <v>6300</v>
      </c>
    </row>
    <row r="267" spans="6:13" x14ac:dyDescent="0.3">
      <c r="F267" s="7">
        <v>44260</v>
      </c>
      <c r="G267" s="8" t="s">
        <v>19</v>
      </c>
      <c r="H267" s="8" t="s">
        <v>18</v>
      </c>
      <c r="I267" s="8" t="s">
        <v>28</v>
      </c>
      <c r="J267" s="8" t="s">
        <v>27</v>
      </c>
      <c r="K267" s="9">
        <v>10</v>
      </c>
      <c r="L267" s="9">
        <v>790</v>
      </c>
      <c r="M267" s="9">
        <f t="shared" si="4"/>
        <v>7900</v>
      </c>
    </row>
    <row r="268" spans="6:13" x14ac:dyDescent="0.3">
      <c r="F268" s="7">
        <v>44260</v>
      </c>
      <c r="G268" s="8" t="s">
        <v>8</v>
      </c>
      <c r="H268" s="8" t="s">
        <v>9</v>
      </c>
      <c r="I268" s="8" t="s">
        <v>29</v>
      </c>
      <c r="J268" s="8" t="s">
        <v>30</v>
      </c>
      <c r="K268" s="9">
        <v>4</v>
      </c>
      <c r="L268" s="9">
        <v>2001</v>
      </c>
      <c r="M268" s="9">
        <f t="shared" si="4"/>
        <v>8004</v>
      </c>
    </row>
    <row r="269" spans="6:13" x14ac:dyDescent="0.3">
      <c r="F269" s="7">
        <v>44260</v>
      </c>
      <c r="G269" s="8" t="s">
        <v>12</v>
      </c>
      <c r="H269" s="8" t="s">
        <v>13</v>
      </c>
      <c r="I269" s="8" t="s">
        <v>31</v>
      </c>
      <c r="J269" s="8" t="s">
        <v>30</v>
      </c>
      <c r="K269" s="9">
        <v>40</v>
      </c>
      <c r="L269" s="9">
        <v>75</v>
      </c>
      <c r="M269" s="9">
        <f t="shared" si="4"/>
        <v>3000</v>
      </c>
    </row>
    <row r="270" spans="6:13" x14ac:dyDescent="0.3">
      <c r="F270" s="7">
        <v>44260</v>
      </c>
      <c r="G270" s="8" t="s">
        <v>15</v>
      </c>
      <c r="H270" s="8" t="s">
        <v>13</v>
      </c>
      <c r="I270" s="8" t="s">
        <v>31</v>
      </c>
      <c r="J270" s="8" t="s">
        <v>30</v>
      </c>
      <c r="K270" s="9">
        <v>15</v>
      </c>
      <c r="L270" s="9">
        <v>315</v>
      </c>
      <c r="M270" s="9">
        <f t="shared" si="4"/>
        <v>4725</v>
      </c>
    </row>
    <row r="271" spans="6:13" x14ac:dyDescent="0.3">
      <c r="F271" s="7">
        <v>44260</v>
      </c>
      <c r="G271" s="8" t="s">
        <v>16</v>
      </c>
      <c r="H271" s="8" t="s">
        <v>9</v>
      </c>
      <c r="I271" s="8" t="s">
        <v>29</v>
      </c>
      <c r="J271" s="8" t="s">
        <v>30</v>
      </c>
      <c r="K271" s="9">
        <v>2</v>
      </c>
      <c r="L271" s="9">
        <v>1080</v>
      </c>
      <c r="M271" s="9">
        <f t="shared" si="4"/>
        <v>2160</v>
      </c>
    </row>
    <row r="272" spans="6:13" x14ac:dyDescent="0.3">
      <c r="F272" s="7">
        <v>44260</v>
      </c>
      <c r="G272" s="8" t="s">
        <v>17</v>
      </c>
      <c r="H272" s="8" t="s">
        <v>18</v>
      </c>
      <c r="I272" s="8" t="s">
        <v>31</v>
      </c>
      <c r="J272" s="8" t="s">
        <v>30</v>
      </c>
      <c r="K272" s="9">
        <v>4</v>
      </c>
      <c r="L272" s="9">
        <v>1575</v>
      </c>
      <c r="M272" s="9">
        <f t="shared" si="4"/>
        <v>6300</v>
      </c>
    </row>
    <row r="273" spans="6:13" x14ac:dyDescent="0.3">
      <c r="F273" s="7">
        <v>44260</v>
      </c>
      <c r="G273" s="8" t="s">
        <v>19</v>
      </c>
      <c r="H273" s="8" t="s">
        <v>18</v>
      </c>
      <c r="I273" s="8" t="s">
        <v>31</v>
      </c>
      <c r="J273" s="8" t="s">
        <v>30</v>
      </c>
      <c r="K273" s="9">
        <v>9</v>
      </c>
      <c r="L273" s="9">
        <v>790</v>
      </c>
      <c r="M273" s="9">
        <f t="shared" si="4"/>
        <v>7110</v>
      </c>
    </row>
    <row r="274" spans="6:13" x14ac:dyDescent="0.3">
      <c r="F274" s="7">
        <v>44267</v>
      </c>
      <c r="G274" s="8" t="s">
        <v>8</v>
      </c>
      <c r="H274" s="8" t="s">
        <v>9</v>
      </c>
      <c r="I274" s="8" t="s">
        <v>10</v>
      </c>
      <c r="J274" s="8" t="s">
        <v>11</v>
      </c>
      <c r="K274" s="9">
        <v>6</v>
      </c>
      <c r="L274" s="9">
        <v>2001</v>
      </c>
      <c r="M274" s="9">
        <f t="shared" si="4"/>
        <v>12006</v>
      </c>
    </row>
    <row r="275" spans="6:13" x14ac:dyDescent="0.3">
      <c r="F275" s="7">
        <v>44267</v>
      </c>
      <c r="G275" s="8" t="s">
        <v>12</v>
      </c>
      <c r="H275" s="8" t="s">
        <v>13</v>
      </c>
      <c r="I275" s="8" t="s">
        <v>14</v>
      </c>
      <c r="J275" s="8" t="s">
        <v>11</v>
      </c>
      <c r="K275" s="9">
        <v>60</v>
      </c>
      <c r="L275" s="9">
        <v>75</v>
      </c>
      <c r="M275" s="9">
        <f t="shared" si="4"/>
        <v>4500</v>
      </c>
    </row>
    <row r="276" spans="6:13" x14ac:dyDescent="0.3">
      <c r="F276" s="7">
        <v>44267</v>
      </c>
      <c r="G276" s="8" t="s">
        <v>15</v>
      </c>
      <c r="H276" s="8" t="s">
        <v>13</v>
      </c>
      <c r="I276" s="8" t="s">
        <v>14</v>
      </c>
      <c r="J276" s="8" t="s">
        <v>11</v>
      </c>
      <c r="K276" s="9">
        <v>12</v>
      </c>
      <c r="L276" s="9">
        <v>315</v>
      </c>
      <c r="M276" s="9">
        <f t="shared" si="4"/>
        <v>3780</v>
      </c>
    </row>
    <row r="277" spans="6:13" x14ac:dyDescent="0.3">
      <c r="F277" s="7">
        <v>44267</v>
      </c>
      <c r="G277" s="8" t="s">
        <v>16</v>
      </c>
      <c r="H277" s="8" t="s">
        <v>9</v>
      </c>
      <c r="I277" s="8" t="s">
        <v>10</v>
      </c>
      <c r="J277" s="8" t="s">
        <v>11</v>
      </c>
      <c r="K277" s="9">
        <v>4</v>
      </c>
      <c r="L277" s="9">
        <v>1080</v>
      </c>
      <c r="M277" s="9">
        <f t="shared" si="4"/>
        <v>4320</v>
      </c>
    </row>
    <row r="278" spans="6:13" x14ac:dyDescent="0.3">
      <c r="F278" s="7">
        <v>44267</v>
      </c>
      <c r="G278" s="8" t="s">
        <v>17</v>
      </c>
      <c r="H278" s="8" t="s">
        <v>18</v>
      </c>
      <c r="I278" s="8" t="s">
        <v>10</v>
      </c>
      <c r="J278" s="8" t="s">
        <v>11</v>
      </c>
      <c r="K278" s="9">
        <v>2</v>
      </c>
      <c r="L278" s="9">
        <v>1575</v>
      </c>
      <c r="M278" s="9">
        <f t="shared" si="4"/>
        <v>3150</v>
      </c>
    </row>
    <row r="279" spans="6:13" x14ac:dyDescent="0.3">
      <c r="F279" s="7">
        <v>44267</v>
      </c>
      <c r="G279" s="8" t="s">
        <v>19</v>
      </c>
      <c r="H279" s="8" t="s">
        <v>18</v>
      </c>
      <c r="I279" s="8" t="s">
        <v>10</v>
      </c>
      <c r="J279" s="8" t="s">
        <v>11</v>
      </c>
      <c r="K279" s="9">
        <v>7</v>
      </c>
      <c r="L279" s="9">
        <v>790</v>
      </c>
      <c r="M279" s="9">
        <f t="shared" si="4"/>
        <v>5530</v>
      </c>
    </row>
    <row r="280" spans="6:13" x14ac:dyDescent="0.3">
      <c r="F280" s="7">
        <v>44267</v>
      </c>
      <c r="G280" s="8" t="s">
        <v>8</v>
      </c>
      <c r="H280" s="8" t="s">
        <v>9</v>
      </c>
      <c r="I280" s="8" t="s">
        <v>20</v>
      </c>
      <c r="J280" s="8" t="s">
        <v>21</v>
      </c>
      <c r="K280" s="9">
        <v>6</v>
      </c>
      <c r="L280" s="9">
        <v>2001</v>
      </c>
      <c r="M280" s="9">
        <f t="shared" si="4"/>
        <v>12006</v>
      </c>
    </row>
    <row r="281" spans="6:13" x14ac:dyDescent="0.3">
      <c r="F281" s="7">
        <v>44267</v>
      </c>
      <c r="G281" s="8" t="s">
        <v>12</v>
      </c>
      <c r="H281" s="8" t="s">
        <v>13</v>
      </c>
      <c r="I281" s="8" t="s">
        <v>22</v>
      </c>
      <c r="J281" s="8" t="s">
        <v>21</v>
      </c>
      <c r="K281" s="9">
        <v>55</v>
      </c>
      <c r="L281" s="9">
        <v>75</v>
      </c>
      <c r="M281" s="9">
        <f t="shared" si="4"/>
        <v>4125</v>
      </c>
    </row>
    <row r="282" spans="6:13" x14ac:dyDescent="0.3">
      <c r="F282" s="7">
        <v>44267</v>
      </c>
      <c r="G282" s="8" t="s">
        <v>15</v>
      </c>
      <c r="H282" s="8" t="s">
        <v>13</v>
      </c>
      <c r="I282" s="8" t="s">
        <v>22</v>
      </c>
      <c r="J282" s="8" t="s">
        <v>21</v>
      </c>
      <c r="K282" s="9">
        <v>9</v>
      </c>
      <c r="L282" s="9">
        <v>315</v>
      </c>
      <c r="M282" s="9">
        <f t="shared" si="4"/>
        <v>2835</v>
      </c>
    </row>
    <row r="283" spans="6:13" x14ac:dyDescent="0.3">
      <c r="F283" s="7">
        <v>44267</v>
      </c>
      <c r="G283" s="8" t="s">
        <v>16</v>
      </c>
      <c r="H283" s="8" t="s">
        <v>9</v>
      </c>
      <c r="I283" s="8" t="s">
        <v>20</v>
      </c>
      <c r="J283" s="8" t="s">
        <v>21</v>
      </c>
      <c r="K283" s="9">
        <v>6</v>
      </c>
      <c r="L283" s="9">
        <v>1080</v>
      </c>
      <c r="M283" s="9">
        <f t="shared" si="4"/>
        <v>6480</v>
      </c>
    </row>
    <row r="284" spans="6:13" x14ac:dyDescent="0.3">
      <c r="F284" s="7">
        <v>44267</v>
      </c>
      <c r="G284" s="8" t="s">
        <v>17</v>
      </c>
      <c r="H284" s="8" t="s">
        <v>18</v>
      </c>
      <c r="I284" s="8" t="s">
        <v>20</v>
      </c>
      <c r="J284" s="8" t="s">
        <v>21</v>
      </c>
      <c r="K284" s="9">
        <v>5</v>
      </c>
      <c r="L284" s="9">
        <v>1575</v>
      </c>
      <c r="M284" s="9">
        <f t="shared" si="4"/>
        <v>7875</v>
      </c>
    </row>
    <row r="285" spans="6:13" x14ac:dyDescent="0.3">
      <c r="F285" s="7">
        <v>44267</v>
      </c>
      <c r="G285" s="8" t="s">
        <v>19</v>
      </c>
      <c r="H285" s="8" t="s">
        <v>18</v>
      </c>
      <c r="I285" s="8" t="s">
        <v>20</v>
      </c>
      <c r="J285" s="8" t="s">
        <v>21</v>
      </c>
      <c r="K285" s="9">
        <v>7</v>
      </c>
      <c r="L285" s="9">
        <v>790</v>
      </c>
      <c r="M285" s="9">
        <f t="shared" si="4"/>
        <v>5530</v>
      </c>
    </row>
    <row r="286" spans="6:13" x14ac:dyDescent="0.3">
      <c r="F286" s="7">
        <v>44267</v>
      </c>
      <c r="G286" s="8" t="s">
        <v>8</v>
      </c>
      <c r="H286" s="8" t="s">
        <v>9</v>
      </c>
      <c r="I286" s="8" t="s">
        <v>23</v>
      </c>
      <c r="J286" s="8" t="s">
        <v>24</v>
      </c>
      <c r="K286" s="9">
        <v>1</v>
      </c>
      <c r="L286" s="9">
        <v>2001</v>
      </c>
      <c r="M286" s="9">
        <f t="shared" si="4"/>
        <v>2001</v>
      </c>
    </row>
    <row r="287" spans="6:13" x14ac:dyDescent="0.3">
      <c r="F287" s="7">
        <v>44267</v>
      </c>
      <c r="G287" s="8" t="s">
        <v>12</v>
      </c>
      <c r="H287" s="8" t="s">
        <v>13</v>
      </c>
      <c r="I287" s="8" t="s">
        <v>25</v>
      </c>
      <c r="J287" s="8" t="s">
        <v>24</v>
      </c>
      <c r="K287" s="9">
        <v>25</v>
      </c>
      <c r="L287" s="9">
        <v>75</v>
      </c>
      <c r="M287" s="9">
        <f t="shared" si="4"/>
        <v>1875</v>
      </c>
    </row>
    <row r="288" spans="6:13" x14ac:dyDescent="0.3">
      <c r="F288" s="7">
        <v>44267</v>
      </c>
      <c r="G288" s="8" t="s">
        <v>15</v>
      </c>
      <c r="H288" s="8" t="s">
        <v>13</v>
      </c>
      <c r="I288" s="8" t="s">
        <v>25</v>
      </c>
      <c r="J288" s="8" t="s">
        <v>24</v>
      </c>
      <c r="K288" s="9">
        <v>5</v>
      </c>
      <c r="L288" s="9">
        <v>315</v>
      </c>
      <c r="M288" s="9">
        <f t="shared" si="4"/>
        <v>1575</v>
      </c>
    </row>
    <row r="289" spans="6:13" x14ac:dyDescent="0.3">
      <c r="F289" s="7">
        <v>44267</v>
      </c>
      <c r="G289" s="8" t="s">
        <v>16</v>
      </c>
      <c r="H289" s="8" t="s">
        <v>9</v>
      </c>
      <c r="I289" s="8" t="s">
        <v>23</v>
      </c>
      <c r="J289" s="8" t="s">
        <v>24</v>
      </c>
      <c r="K289" s="9">
        <v>2</v>
      </c>
      <c r="L289" s="9">
        <v>1080</v>
      </c>
      <c r="M289" s="9">
        <f t="shared" si="4"/>
        <v>2160</v>
      </c>
    </row>
    <row r="290" spans="6:13" x14ac:dyDescent="0.3">
      <c r="F290" s="7">
        <v>44267</v>
      </c>
      <c r="G290" s="8" t="s">
        <v>17</v>
      </c>
      <c r="H290" s="8" t="s">
        <v>18</v>
      </c>
      <c r="I290" s="8" t="s">
        <v>25</v>
      </c>
      <c r="J290" s="8" t="s">
        <v>24</v>
      </c>
      <c r="K290" s="9">
        <v>1</v>
      </c>
      <c r="L290" s="9">
        <v>1575</v>
      </c>
      <c r="M290" s="9">
        <f t="shared" si="4"/>
        <v>1575</v>
      </c>
    </row>
    <row r="291" spans="6:13" x14ac:dyDescent="0.3">
      <c r="F291" s="7">
        <v>44267</v>
      </c>
      <c r="G291" s="8" t="s">
        <v>19</v>
      </c>
      <c r="H291" s="8" t="s">
        <v>18</v>
      </c>
      <c r="I291" s="8" t="s">
        <v>25</v>
      </c>
      <c r="J291" s="8" t="s">
        <v>24</v>
      </c>
      <c r="K291" s="9">
        <v>6</v>
      </c>
      <c r="L291" s="9">
        <v>790</v>
      </c>
      <c r="M291" s="9">
        <f t="shared" si="4"/>
        <v>4740</v>
      </c>
    </row>
    <row r="292" spans="6:13" x14ac:dyDescent="0.3">
      <c r="F292" s="7">
        <v>44267</v>
      </c>
      <c r="G292" s="8" t="s">
        <v>8</v>
      </c>
      <c r="H292" s="8" t="s">
        <v>9</v>
      </c>
      <c r="I292" s="8" t="s">
        <v>26</v>
      </c>
      <c r="J292" s="8" t="s">
        <v>27</v>
      </c>
      <c r="K292" s="9">
        <v>5</v>
      </c>
      <c r="L292" s="9">
        <v>2001</v>
      </c>
      <c r="M292" s="9">
        <f t="shared" si="4"/>
        <v>10005</v>
      </c>
    </row>
    <row r="293" spans="6:13" x14ac:dyDescent="0.3">
      <c r="F293" s="7">
        <v>44267</v>
      </c>
      <c r="G293" s="8" t="s">
        <v>12</v>
      </c>
      <c r="H293" s="8" t="s">
        <v>13</v>
      </c>
      <c r="I293" s="8" t="s">
        <v>28</v>
      </c>
      <c r="J293" s="8" t="s">
        <v>27</v>
      </c>
      <c r="K293" s="9">
        <v>38</v>
      </c>
      <c r="L293" s="9">
        <v>75</v>
      </c>
      <c r="M293" s="9">
        <f t="shared" si="4"/>
        <v>2850</v>
      </c>
    </row>
    <row r="294" spans="6:13" x14ac:dyDescent="0.3">
      <c r="F294" s="7">
        <v>44267</v>
      </c>
      <c r="G294" s="8" t="s">
        <v>15</v>
      </c>
      <c r="H294" s="8" t="s">
        <v>13</v>
      </c>
      <c r="I294" s="8" t="s">
        <v>28</v>
      </c>
      <c r="J294" s="8" t="s">
        <v>27</v>
      </c>
      <c r="K294" s="9">
        <v>9</v>
      </c>
      <c r="L294" s="9">
        <v>315</v>
      </c>
      <c r="M294" s="9">
        <f t="shared" si="4"/>
        <v>2835</v>
      </c>
    </row>
    <row r="295" spans="6:13" x14ac:dyDescent="0.3">
      <c r="F295" s="7">
        <v>44267</v>
      </c>
      <c r="G295" s="8" t="s">
        <v>16</v>
      </c>
      <c r="H295" s="8" t="s">
        <v>9</v>
      </c>
      <c r="I295" s="8" t="s">
        <v>26</v>
      </c>
      <c r="J295" s="8" t="s">
        <v>27</v>
      </c>
      <c r="K295" s="9">
        <v>4</v>
      </c>
      <c r="L295" s="9">
        <v>1080</v>
      </c>
      <c r="M295" s="9">
        <f t="shared" si="4"/>
        <v>4320</v>
      </c>
    </row>
    <row r="296" spans="6:13" x14ac:dyDescent="0.3">
      <c r="F296" s="7">
        <v>44267</v>
      </c>
      <c r="G296" s="8" t="s">
        <v>17</v>
      </c>
      <c r="H296" s="8" t="s">
        <v>18</v>
      </c>
      <c r="I296" s="8" t="s">
        <v>28</v>
      </c>
      <c r="J296" s="8" t="s">
        <v>27</v>
      </c>
      <c r="K296" s="9">
        <v>5</v>
      </c>
      <c r="L296" s="9">
        <v>1575</v>
      </c>
      <c r="M296" s="9">
        <f t="shared" si="4"/>
        <v>7875</v>
      </c>
    </row>
    <row r="297" spans="6:13" x14ac:dyDescent="0.3">
      <c r="F297" s="7">
        <v>44267</v>
      </c>
      <c r="G297" s="8" t="s">
        <v>19</v>
      </c>
      <c r="H297" s="8" t="s">
        <v>18</v>
      </c>
      <c r="I297" s="8" t="s">
        <v>28</v>
      </c>
      <c r="J297" s="8" t="s">
        <v>27</v>
      </c>
      <c r="K297" s="9">
        <v>6</v>
      </c>
      <c r="L297" s="9">
        <v>790</v>
      </c>
      <c r="M297" s="9">
        <f t="shared" si="4"/>
        <v>4740</v>
      </c>
    </row>
    <row r="298" spans="6:13" x14ac:dyDescent="0.3">
      <c r="F298" s="7">
        <v>44267</v>
      </c>
      <c r="G298" s="8" t="s">
        <v>8</v>
      </c>
      <c r="H298" s="8" t="s">
        <v>9</v>
      </c>
      <c r="I298" s="8" t="s">
        <v>29</v>
      </c>
      <c r="J298" s="8" t="s">
        <v>30</v>
      </c>
      <c r="K298" s="9">
        <v>4</v>
      </c>
      <c r="L298" s="9">
        <v>2001</v>
      </c>
      <c r="M298" s="9">
        <f t="shared" si="4"/>
        <v>8004</v>
      </c>
    </row>
    <row r="299" spans="6:13" x14ac:dyDescent="0.3">
      <c r="F299" s="7">
        <v>44267</v>
      </c>
      <c r="G299" s="8" t="s">
        <v>12</v>
      </c>
      <c r="H299" s="8" t="s">
        <v>13</v>
      </c>
      <c r="I299" s="8" t="s">
        <v>31</v>
      </c>
      <c r="J299" s="8" t="s">
        <v>30</v>
      </c>
      <c r="K299" s="9">
        <v>48</v>
      </c>
      <c r="L299" s="9">
        <v>75</v>
      </c>
      <c r="M299" s="9">
        <f t="shared" si="4"/>
        <v>3600</v>
      </c>
    </row>
    <row r="300" spans="6:13" x14ac:dyDescent="0.3">
      <c r="F300" s="7">
        <v>44267</v>
      </c>
      <c r="G300" s="8" t="s">
        <v>15</v>
      </c>
      <c r="H300" s="8" t="s">
        <v>13</v>
      </c>
      <c r="I300" s="8" t="s">
        <v>31</v>
      </c>
      <c r="J300" s="8" t="s">
        <v>30</v>
      </c>
      <c r="K300" s="9">
        <v>8</v>
      </c>
      <c r="L300" s="9">
        <v>315</v>
      </c>
      <c r="M300" s="9">
        <f t="shared" si="4"/>
        <v>2520</v>
      </c>
    </row>
    <row r="301" spans="6:13" x14ac:dyDescent="0.3">
      <c r="F301" s="7">
        <v>44267</v>
      </c>
      <c r="G301" s="8" t="s">
        <v>16</v>
      </c>
      <c r="H301" s="8" t="s">
        <v>9</v>
      </c>
      <c r="I301" s="8" t="s">
        <v>29</v>
      </c>
      <c r="J301" s="8" t="s">
        <v>30</v>
      </c>
      <c r="K301" s="9">
        <v>3</v>
      </c>
      <c r="L301" s="9">
        <v>1080</v>
      </c>
      <c r="M301" s="9">
        <f t="shared" si="4"/>
        <v>3240</v>
      </c>
    </row>
    <row r="302" spans="6:13" x14ac:dyDescent="0.3">
      <c r="F302" s="7">
        <v>44267</v>
      </c>
      <c r="G302" s="8" t="s">
        <v>17</v>
      </c>
      <c r="H302" s="8" t="s">
        <v>18</v>
      </c>
      <c r="I302" s="8" t="s">
        <v>31</v>
      </c>
      <c r="J302" s="8" t="s">
        <v>30</v>
      </c>
      <c r="K302" s="9">
        <v>4</v>
      </c>
      <c r="L302" s="9">
        <v>1575</v>
      </c>
      <c r="M302" s="9">
        <f t="shared" si="4"/>
        <v>6300</v>
      </c>
    </row>
    <row r="303" spans="6:13" x14ac:dyDescent="0.3">
      <c r="F303" s="7">
        <v>44267</v>
      </c>
      <c r="G303" s="8" t="s">
        <v>19</v>
      </c>
      <c r="H303" s="8" t="s">
        <v>18</v>
      </c>
      <c r="I303" s="8" t="s">
        <v>31</v>
      </c>
      <c r="J303" s="8" t="s">
        <v>30</v>
      </c>
      <c r="K303" s="9">
        <v>5</v>
      </c>
      <c r="L303" s="9">
        <v>790</v>
      </c>
      <c r="M303" s="9">
        <f t="shared" si="4"/>
        <v>3950</v>
      </c>
    </row>
    <row r="304" spans="6:13" x14ac:dyDescent="0.3">
      <c r="F304" s="7">
        <v>44274</v>
      </c>
      <c r="G304" s="8" t="s">
        <v>8</v>
      </c>
      <c r="H304" s="8" t="s">
        <v>9</v>
      </c>
      <c r="I304" s="8" t="s">
        <v>10</v>
      </c>
      <c r="J304" s="8" t="s">
        <v>11</v>
      </c>
      <c r="K304" s="9">
        <v>3</v>
      </c>
      <c r="L304" s="9">
        <v>2001</v>
      </c>
      <c r="M304" s="9">
        <f t="shared" si="4"/>
        <v>6003</v>
      </c>
    </row>
    <row r="305" spans="6:13" x14ac:dyDescent="0.3">
      <c r="F305" s="7">
        <v>44274</v>
      </c>
      <c r="G305" s="8" t="s">
        <v>12</v>
      </c>
      <c r="H305" s="8" t="s">
        <v>13</v>
      </c>
      <c r="I305" s="8" t="s">
        <v>14</v>
      </c>
      <c r="J305" s="8" t="s">
        <v>11</v>
      </c>
      <c r="K305" s="9">
        <v>47</v>
      </c>
      <c r="L305" s="9">
        <v>75</v>
      </c>
      <c r="M305" s="9">
        <f t="shared" si="4"/>
        <v>3525</v>
      </c>
    </row>
    <row r="306" spans="6:13" x14ac:dyDescent="0.3">
      <c r="F306" s="7">
        <v>44274</v>
      </c>
      <c r="G306" s="8" t="s">
        <v>15</v>
      </c>
      <c r="H306" s="8" t="s">
        <v>13</v>
      </c>
      <c r="I306" s="8" t="s">
        <v>14</v>
      </c>
      <c r="J306" s="8" t="s">
        <v>11</v>
      </c>
      <c r="K306" s="9">
        <v>15</v>
      </c>
      <c r="L306" s="9">
        <v>315</v>
      </c>
      <c r="M306" s="9">
        <f t="shared" si="4"/>
        <v>4725</v>
      </c>
    </row>
    <row r="307" spans="6:13" x14ac:dyDescent="0.3">
      <c r="F307" s="7">
        <v>44274</v>
      </c>
      <c r="G307" s="8" t="s">
        <v>16</v>
      </c>
      <c r="H307" s="8" t="s">
        <v>9</v>
      </c>
      <c r="I307" s="8" t="s">
        <v>10</v>
      </c>
      <c r="J307" s="8" t="s">
        <v>11</v>
      </c>
      <c r="K307" s="9">
        <v>3</v>
      </c>
      <c r="L307" s="9">
        <v>1080</v>
      </c>
      <c r="M307" s="9">
        <f t="shared" si="4"/>
        <v>3240</v>
      </c>
    </row>
    <row r="308" spans="6:13" x14ac:dyDescent="0.3">
      <c r="F308" s="7">
        <v>44274</v>
      </c>
      <c r="G308" s="8" t="s">
        <v>17</v>
      </c>
      <c r="H308" s="8" t="s">
        <v>18</v>
      </c>
      <c r="I308" s="8" t="s">
        <v>10</v>
      </c>
      <c r="J308" s="8" t="s">
        <v>11</v>
      </c>
      <c r="K308" s="9">
        <v>5</v>
      </c>
      <c r="L308" s="9">
        <v>1575</v>
      </c>
      <c r="M308" s="9">
        <f t="shared" si="4"/>
        <v>7875</v>
      </c>
    </row>
    <row r="309" spans="6:13" x14ac:dyDescent="0.3">
      <c r="F309" s="7">
        <v>44274</v>
      </c>
      <c r="G309" s="8" t="s">
        <v>19</v>
      </c>
      <c r="H309" s="8" t="s">
        <v>18</v>
      </c>
      <c r="I309" s="8" t="s">
        <v>10</v>
      </c>
      <c r="J309" s="8" t="s">
        <v>11</v>
      </c>
      <c r="K309" s="9">
        <v>6</v>
      </c>
      <c r="L309" s="9">
        <v>790</v>
      </c>
      <c r="M309" s="9">
        <f t="shared" si="4"/>
        <v>4740</v>
      </c>
    </row>
    <row r="310" spans="6:13" x14ac:dyDescent="0.3">
      <c r="F310" s="7">
        <v>44274</v>
      </c>
      <c r="G310" s="8" t="s">
        <v>8</v>
      </c>
      <c r="H310" s="8" t="s">
        <v>9</v>
      </c>
      <c r="I310" s="8" t="s">
        <v>20</v>
      </c>
      <c r="J310" s="8" t="s">
        <v>21</v>
      </c>
      <c r="K310" s="9">
        <v>4</v>
      </c>
      <c r="L310" s="9">
        <v>2001</v>
      </c>
      <c r="M310" s="9">
        <f t="shared" si="4"/>
        <v>8004</v>
      </c>
    </row>
    <row r="311" spans="6:13" x14ac:dyDescent="0.3">
      <c r="F311" s="7">
        <v>44274</v>
      </c>
      <c r="G311" s="8" t="s">
        <v>12</v>
      </c>
      <c r="H311" s="8" t="s">
        <v>13</v>
      </c>
      <c r="I311" s="8" t="s">
        <v>22</v>
      </c>
      <c r="J311" s="8" t="s">
        <v>21</v>
      </c>
      <c r="K311" s="9">
        <v>66</v>
      </c>
      <c r="L311" s="9">
        <v>75</v>
      </c>
      <c r="M311" s="9">
        <f t="shared" si="4"/>
        <v>4950</v>
      </c>
    </row>
    <row r="312" spans="6:13" x14ac:dyDescent="0.3">
      <c r="F312" s="7">
        <v>44274</v>
      </c>
      <c r="G312" s="8" t="s">
        <v>15</v>
      </c>
      <c r="H312" s="8" t="s">
        <v>13</v>
      </c>
      <c r="I312" s="8" t="s">
        <v>22</v>
      </c>
      <c r="J312" s="8" t="s">
        <v>21</v>
      </c>
      <c r="K312" s="9">
        <v>10</v>
      </c>
      <c r="L312" s="9">
        <v>315</v>
      </c>
      <c r="M312" s="9">
        <f t="shared" si="4"/>
        <v>3150</v>
      </c>
    </row>
    <row r="313" spans="6:13" x14ac:dyDescent="0.3">
      <c r="F313" s="7">
        <v>44274</v>
      </c>
      <c r="G313" s="8" t="s">
        <v>16</v>
      </c>
      <c r="H313" s="8" t="s">
        <v>9</v>
      </c>
      <c r="I313" s="8" t="s">
        <v>20</v>
      </c>
      <c r="J313" s="8" t="s">
        <v>21</v>
      </c>
      <c r="K313" s="9">
        <v>2</v>
      </c>
      <c r="L313" s="9">
        <v>1080</v>
      </c>
      <c r="M313" s="9">
        <f t="shared" si="4"/>
        <v>2160</v>
      </c>
    </row>
    <row r="314" spans="6:13" x14ac:dyDescent="0.3">
      <c r="F314" s="7">
        <v>44274</v>
      </c>
      <c r="G314" s="8" t="s">
        <v>17</v>
      </c>
      <c r="H314" s="8" t="s">
        <v>18</v>
      </c>
      <c r="I314" s="8" t="s">
        <v>20</v>
      </c>
      <c r="J314" s="8" t="s">
        <v>21</v>
      </c>
      <c r="K314" s="9">
        <v>6</v>
      </c>
      <c r="L314" s="9">
        <v>1575</v>
      </c>
      <c r="M314" s="9">
        <f t="shared" si="4"/>
        <v>9450</v>
      </c>
    </row>
    <row r="315" spans="6:13" x14ac:dyDescent="0.3">
      <c r="F315" s="7">
        <v>44274</v>
      </c>
      <c r="G315" s="8" t="s">
        <v>19</v>
      </c>
      <c r="H315" s="8" t="s">
        <v>18</v>
      </c>
      <c r="I315" s="8" t="s">
        <v>22</v>
      </c>
      <c r="J315" s="8" t="s">
        <v>21</v>
      </c>
      <c r="K315" s="9">
        <v>8</v>
      </c>
      <c r="L315" s="9">
        <v>790</v>
      </c>
      <c r="M315" s="9">
        <f t="shared" si="4"/>
        <v>6320</v>
      </c>
    </row>
    <row r="316" spans="6:13" x14ac:dyDescent="0.3">
      <c r="F316" s="7">
        <v>44274</v>
      </c>
      <c r="G316" s="8" t="s">
        <v>8</v>
      </c>
      <c r="H316" s="8" t="s">
        <v>9</v>
      </c>
      <c r="I316" s="8" t="s">
        <v>23</v>
      </c>
      <c r="J316" s="8" t="s">
        <v>24</v>
      </c>
      <c r="K316" s="9">
        <v>4</v>
      </c>
      <c r="L316" s="9">
        <v>2001</v>
      </c>
      <c r="M316" s="9">
        <f t="shared" si="4"/>
        <v>8004</v>
      </c>
    </row>
    <row r="317" spans="6:13" x14ac:dyDescent="0.3">
      <c r="F317" s="7">
        <v>44274</v>
      </c>
      <c r="G317" s="8" t="s">
        <v>12</v>
      </c>
      <c r="H317" s="8" t="s">
        <v>13</v>
      </c>
      <c r="I317" s="8" t="s">
        <v>25</v>
      </c>
      <c r="J317" s="8" t="s">
        <v>24</v>
      </c>
      <c r="K317" s="9">
        <v>25</v>
      </c>
      <c r="L317" s="9">
        <v>75</v>
      </c>
      <c r="M317" s="9">
        <f t="shared" si="4"/>
        <v>1875</v>
      </c>
    </row>
    <row r="318" spans="6:13" x14ac:dyDescent="0.3">
      <c r="F318" s="7">
        <v>44274</v>
      </c>
      <c r="G318" s="8" t="s">
        <v>15</v>
      </c>
      <c r="H318" s="8" t="s">
        <v>13</v>
      </c>
      <c r="I318" s="8" t="s">
        <v>25</v>
      </c>
      <c r="J318" s="8" t="s">
        <v>24</v>
      </c>
      <c r="K318" s="9">
        <v>4</v>
      </c>
      <c r="L318" s="9">
        <v>315</v>
      </c>
      <c r="M318" s="9">
        <f t="shared" si="4"/>
        <v>1260</v>
      </c>
    </row>
    <row r="319" spans="6:13" x14ac:dyDescent="0.3">
      <c r="F319" s="7">
        <v>44274</v>
      </c>
      <c r="G319" s="8" t="s">
        <v>16</v>
      </c>
      <c r="H319" s="8" t="s">
        <v>9</v>
      </c>
      <c r="I319" s="8" t="s">
        <v>23</v>
      </c>
      <c r="J319" s="8" t="s">
        <v>24</v>
      </c>
      <c r="K319" s="9">
        <v>4</v>
      </c>
      <c r="L319" s="9">
        <v>1080</v>
      </c>
      <c r="M319" s="9">
        <f t="shared" si="4"/>
        <v>4320</v>
      </c>
    </row>
    <row r="320" spans="6:13" x14ac:dyDescent="0.3">
      <c r="F320" s="7">
        <v>44274</v>
      </c>
      <c r="G320" s="8" t="s">
        <v>17</v>
      </c>
      <c r="H320" s="8" t="s">
        <v>18</v>
      </c>
      <c r="I320" s="8" t="s">
        <v>25</v>
      </c>
      <c r="J320" s="8" t="s">
        <v>24</v>
      </c>
      <c r="K320" s="9">
        <v>1</v>
      </c>
      <c r="L320" s="9">
        <v>1575</v>
      </c>
      <c r="M320" s="9">
        <f t="shared" si="4"/>
        <v>1575</v>
      </c>
    </row>
    <row r="321" spans="6:13" x14ac:dyDescent="0.3">
      <c r="F321" s="7">
        <v>44274</v>
      </c>
      <c r="G321" s="8" t="s">
        <v>19</v>
      </c>
      <c r="H321" s="8" t="s">
        <v>18</v>
      </c>
      <c r="I321" s="8" t="s">
        <v>25</v>
      </c>
      <c r="J321" s="8" t="s">
        <v>24</v>
      </c>
      <c r="K321" s="9">
        <v>5</v>
      </c>
      <c r="L321" s="9">
        <v>790</v>
      </c>
      <c r="M321" s="9">
        <f t="shared" si="4"/>
        <v>3950</v>
      </c>
    </row>
    <row r="322" spans="6:13" x14ac:dyDescent="0.3">
      <c r="F322" s="7">
        <v>44274</v>
      </c>
      <c r="G322" s="8" t="s">
        <v>8</v>
      </c>
      <c r="H322" s="8" t="s">
        <v>9</v>
      </c>
      <c r="I322" s="8" t="s">
        <v>26</v>
      </c>
      <c r="J322" s="8" t="s">
        <v>27</v>
      </c>
      <c r="K322" s="9">
        <v>5</v>
      </c>
      <c r="L322" s="9">
        <v>2001</v>
      </c>
      <c r="M322" s="9">
        <f t="shared" si="4"/>
        <v>10005</v>
      </c>
    </row>
    <row r="323" spans="6:13" x14ac:dyDescent="0.3">
      <c r="F323" s="7">
        <v>44274</v>
      </c>
      <c r="G323" s="8" t="s">
        <v>12</v>
      </c>
      <c r="H323" s="8" t="s">
        <v>13</v>
      </c>
      <c r="I323" s="8" t="s">
        <v>28</v>
      </c>
      <c r="J323" s="8" t="s">
        <v>27</v>
      </c>
      <c r="K323" s="9">
        <v>41</v>
      </c>
      <c r="L323" s="9">
        <v>75</v>
      </c>
      <c r="M323" s="9">
        <f t="shared" si="4"/>
        <v>3075</v>
      </c>
    </row>
    <row r="324" spans="6:13" x14ac:dyDescent="0.3">
      <c r="F324" s="7">
        <v>44274</v>
      </c>
      <c r="G324" s="8" t="s">
        <v>15</v>
      </c>
      <c r="H324" s="8" t="s">
        <v>13</v>
      </c>
      <c r="I324" s="8" t="s">
        <v>28</v>
      </c>
      <c r="J324" s="8" t="s">
        <v>27</v>
      </c>
      <c r="K324" s="9">
        <v>9</v>
      </c>
      <c r="L324" s="9">
        <v>315</v>
      </c>
      <c r="M324" s="9">
        <f t="shared" ref="M324:M387" si="5">K324*L324</f>
        <v>2835</v>
      </c>
    </row>
    <row r="325" spans="6:13" x14ac:dyDescent="0.3">
      <c r="F325" s="7">
        <v>44274</v>
      </c>
      <c r="G325" s="8" t="s">
        <v>16</v>
      </c>
      <c r="H325" s="8" t="s">
        <v>9</v>
      </c>
      <c r="I325" s="8" t="s">
        <v>26</v>
      </c>
      <c r="J325" s="8" t="s">
        <v>27</v>
      </c>
      <c r="K325" s="9">
        <v>4</v>
      </c>
      <c r="L325" s="9">
        <v>1080</v>
      </c>
      <c r="M325" s="9">
        <f t="shared" si="5"/>
        <v>4320</v>
      </c>
    </row>
    <row r="326" spans="6:13" x14ac:dyDescent="0.3">
      <c r="F326" s="7">
        <v>44274</v>
      </c>
      <c r="G326" s="8" t="s">
        <v>17</v>
      </c>
      <c r="H326" s="8" t="s">
        <v>18</v>
      </c>
      <c r="I326" s="8" t="s">
        <v>28</v>
      </c>
      <c r="J326" s="8" t="s">
        <v>27</v>
      </c>
      <c r="K326" s="9">
        <v>6</v>
      </c>
      <c r="L326" s="9">
        <v>1575</v>
      </c>
      <c r="M326" s="9">
        <f t="shared" si="5"/>
        <v>9450</v>
      </c>
    </row>
    <row r="327" spans="6:13" x14ac:dyDescent="0.3">
      <c r="F327" s="7">
        <v>44274</v>
      </c>
      <c r="G327" s="8" t="s">
        <v>19</v>
      </c>
      <c r="H327" s="8" t="s">
        <v>18</v>
      </c>
      <c r="I327" s="8" t="s">
        <v>28</v>
      </c>
      <c r="J327" s="8" t="s">
        <v>27</v>
      </c>
      <c r="K327" s="9">
        <v>11</v>
      </c>
      <c r="L327" s="9">
        <v>790</v>
      </c>
      <c r="M327" s="9">
        <f t="shared" si="5"/>
        <v>8690</v>
      </c>
    </row>
    <row r="328" spans="6:13" x14ac:dyDescent="0.3">
      <c r="F328" s="7">
        <v>44274</v>
      </c>
      <c r="G328" s="8" t="s">
        <v>8</v>
      </c>
      <c r="H328" s="8" t="s">
        <v>9</v>
      </c>
      <c r="I328" s="8" t="s">
        <v>29</v>
      </c>
      <c r="J328" s="8" t="s">
        <v>30</v>
      </c>
      <c r="K328" s="9">
        <v>4</v>
      </c>
      <c r="L328" s="9">
        <v>2001</v>
      </c>
      <c r="M328" s="9">
        <f t="shared" si="5"/>
        <v>8004</v>
      </c>
    </row>
    <row r="329" spans="6:13" x14ac:dyDescent="0.3">
      <c r="F329" s="7">
        <v>44274</v>
      </c>
      <c r="G329" s="8" t="s">
        <v>12</v>
      </c>
      <c r="H329" s="8" t="s">
        <v>13</v>
      </c>
      <c r="I329" s="8" t="s">
        <v>31</v>
      </c>
      <c r="J329" s="8" t="s">
        <v>30</v>
      </c>
      <c r="K329" s="9">
        <v>56</v>
      </c>
      <c r="L329" s="9">
        <v>75</v>
      </c>
      <c r="M329" s="9">
        <f t="shared" si="5"/>
        <v>4200</v>
      </c>
    </row>
    <row r="330" spans="6:13" x14ac:dyDescent="0.3">
      <c r="F330" s="7">
        <v>44274</v>
      </c>
      <c r="G330" s="8" t="s">
        <v>15</v>
      </c>
      <c r="H330" s="8" t="s">
        <v>13</v>
      </c>
      <c r="I330" s="8" t="s">
        <v>31</v>
      </c>
      <c r="J330" s="8" t="s">
        <v>30</v>
      </c>
      <c r="K330" s="9">
        <v>10</v>
      </c>
      <c r="L330" s="9">
        <v>315</v>
      </c>
      <c r="M330" s="9">
        <f t="shared" si="5"/>
        <v>3150</v>
      </c>
    </row>
    <row r="331" spans="6:13" x14ac:dyDescent="0.3">
      <c r="F331" s="7">
        <v>44274</v>
      </c>
      <c r="G331" s="8" t="s">
        <v>16</v>
      </c>
      <c r="H331" s="8" t="s">
        <v>9</v>
      </c>
      <c r="I331" s="8" t="s">
        <v>29</v>
      </c>
      <c r="J331" s="8" t="s">
        <v>30</v>
      </c>
      <c r="K331" s="9">
        <v>6</v>
      </c>
      <c r="L331" s="9">
        <v>1080</v>
      </c>
      <c r="M331" s="9">
        <f t="shared" si="5"/>
        <v>6480</v>
      </c>
    </row>
    <row r="332" spans="6:13" x14ac:dyDescent="0.3">
      <c r="F332" s="7">
        <v>44274</v>
      </c>
      <c r="G332" s="8" t="s">
        <v>17</v>
      </c>
      <c r="H332" s="8" t="s">
        <v>18</v>
      </c>
      <c r="I332" s="8" t="s">
        <v>31</v>
      </c>
      <c r="J332" s="8" t="s">
        <v>30</v>
      </c>
      <c r="K332" s="9">
        <v>5</v>
      </c>
      <c r="L332" s="9">
        <v>1575</v>
      </c>
      <c r="M332" s="9">
        <f t="shared" si="5"/>
        <v>7875</v>
      </c>
    </row>
    <row r="333" spans="6:13" x14ac:dyDescent="0.3">
      <c r="F333" s="7">
        <v>44274</v>
      </c>
      <c r="G333" s="8" t="s">
        <v>19</v>
      </c>
      <c r="H333" s="8" t="s">
        <v>18</v>
      </c>
      <c r="I333" s="8" t="s">
        <v>31</v>
      </c>
      <c r="J333" s="8" t="s">
        <v>30</v>
      </c>
      <c r="K333" s="9">
        <v>8</v>
      </c>
      <c r="L333" s="9">
        <v>790</v>
      </c>
      <c r="M333" s="9">
        <f t="shared" si="5"/>
        <v>6320</v>
      </c>
    </row>
    <row r="334" spans="6:13" x14ac:dyDescent="0.3">
      <c r="F334" s="7">
        <v>44281</v>
      </c>
      <c r="G334" s="8" t="s">
        <v>8</v>
      </c>
      <c r="H334" s="8" t="s">
        <v>9</v>
      </c>
      <c r="I334" s="8" t="s">
        <v>10</v>
      </c>
      <c r="J334" s="8" t="s">
        <v>11</v>
      </c>
      <c r="K334" s="9">
        <v>6</v>
      </c>
      <c r="L334" s="9">
        <v>2001</v>
      </c>
      <c r="M334" s="9">
        <f t="shared" si="5"/>
        <v>12006</v>
      </c>
    </row>
    <row r="335" spans="6:13" x14ac:dyDescent="0.3">
      <c r="F335" s="7">
        <v>44281</v>
      </c>
      <c r="G335" s="8" t="s">
        <v>12</v>
      </c>
      <c r="H335" s="8" t="s">
        <v>13</v>
      </c>
      <c r="I335" s="8" t="s">
        <v>14</v>
      </c>
      <c r="J335" s="8" t="s">
        <v>11</v>
      </c>
      <c r="K335" s="9">
        <v>59</v>
      </c>
      <c r="L335" s="9">
        <v>75</v>
      </c>
      <c r="M335" s="9">
        <f t="shared" si="5"/>
        <v>4425</v>
      </c>
    </row>
    <row r="336" spans="6:13" x14ac:dyDescent="0.3">
      <c r="F336" s="7">
        <v>44281</v>
      </c>
      <c r="G336" s="8" t="s">
        <v>15</v>
      </c>
      <c r="H336" s="8" t="s">
        <v>13</v>
      </c>
      <c r="I336" s="8" t="s">
        <v>14</v>
      </c>
      <c r="J336" s="8" t="s">
        <v>11</v>
      </c>
      <c r="K336" s="9">
        <v>12</v>
      </c>
      <c r="L336" s="9">
        <v>315</v>
      </c>
      <c r="M336" s="9">
        <f t="shared" si="5"/>
        <v>3780</v>
      </c>
    </row>
    <row r="337" spans="6:13" x14ac:dyDescent="0.3">
      <c r="F337" s="7">
        <v>44281</v>
      </c>
      <c r="G337" s="8" t="s">
        <v>16</v>
      </c>
      <c r="H337" s="8" t="s">
        <v>9</v>
      </c>
      <c r="I337" s="8" t="s">
        <v>10</v>
      </c>
      <c r="J337" s="8" t="s">
        <v>11</v>
      </c>
      <c r="K337" s="9">
        <v>5</v>
      </c>
      <c r="L337" s="9">
        <v>1080</v>
      </c>
      <c r="M337" s="9">
        <f t="shared" si="5"/>
        <v>5400</v>
      </c>
    </row>
    <row r="338" spans="6:13" x14ac:dyDescent="0.3">
      <c r="F338" s="7">
        <v>44281</v>
      </c>
      <c r="G338" s="8" t="s">
        <v>17</v>
      </c>
      <c r="H338" s="8" t="s">
        <v>18</v>
      </c>
      <c r="I338" s="8" t="s">
        <v>10</v>
      </c>
      <c r="J338" s="8" t="s">
        <v>11</v>
      </c>
      <c r="K338" s="9">
        <v>3</v>
      </c>
      <c r="L338" s="9">
        <v>1575</v>
      </c>
      <c r="M338" s="9">
        <f t="shared" si="5"/>
        <v>4725</v>
      </c>
    </row>
    <row r="339" spans="6:13" x14ac:dyDescent="0.3">
      <c r="F339" s="7">
        <v>44281</v>
      </c>
      <c r="G339" s="8" t="s">
        <v>19</v>
      </c>
      <c r="H339" s="8" t="s">
        <v>18</v>
      </c>
      <c r="I339" s="8" t="s">
        <v>10</v>
      </c>
      <c r="J339" s="8" t="s">
        <v>11</v>
      </c>
      <c r="K339" s="9">
        <v>7</v>
      </c>
      <c r="L339" s="9">
        <v>790</v>
      </c>
      <c r="M339" s="9">
        <f t="shared" si="5"/>
        <v>5530</v>
      </c>
    </row>
    <row r="340" spans="6:13" x14ac:dyDescent="0.3">
      <c r="F340" s="7">
        <v>44281</v>
      </c>
      <c r="G340" s="8" t="s">
        <v>8</v>
      </c>
      <c r="H340" s="8" t="s">
        <v>9</v>
      </c>
      <c r="I340" s="8" t="s">
        <v>20</v>
      </c>
      <c r="J340" s="8" t="s">
        <v>21</v>
      </c>
      <c r="K340" s="9">
        <v>3</v>
      </c>
      <c r="L340" s="9">
        <v>2001</v>
      </c>
      <c r="M340" s="9">
        <f t="shared" si="5"/>
        <v>6003</v>
      </c>
    </row>
    <row r="341" spans="6:13" x14ac:dyDescent="0.3">
      <c r="F341" s="7">
        <v>44281</v>
      </c>
      <c r="G341" s="8" t="s">
        <v>12</v>
      </c>
      <c r="H341" s="8" t="s">
        <v>13</v>
      </c>
      <c r="I341" s="8" t="s">
        <v>22</v>
      </c>
      <c r="J341" s="8" t="s">
        <v>21</v>
      </c>
      <c r="K341" s="9">
        <v>35</v>
      </c>
      <c r="L341" s="9">
        <v>75</v>
      </c>
      <c r="M341" s="9">
        <f t="shared" si="5"/>
        <v>2625</v>
      </c>
    </row>
    <row r="342" spans="6:13" x14ac:dyDescent="0.3">
      <c r="F342" s="7">
        <v>44281</v>
      </c>
      <c r="G342" s="8" t="s">
        <v>15</v>
      </c>
      <c r="H342" s="8" t="s">
        <v>13</v>
      </c>
      <c r="I342" s="8" t="s">
        <v>22</v>
      </c>
      <c r="J342" s="8" t="s">
        <v>21</v>
      </c>
      <c r="K342" s="9">
        <v>12</v>
      </c>
      <c r="L342" s="9">
        <v>315</v>
      </c>
      <c r="M342" s="9">
        <f t="shared" si="5"/>
        <v>3780</v>
      </c>
    </row>
    <row r="343" spans="6:13" x14ac:dyDescent="0.3">
      <c r="F343" s="7">
        <v>44281</v>
      </c>
      <c r="G343" s="8" t="s">
        <v>16</v>
      </c>
      <c r="H343" s="8" t="s">
        <v>9</v>
      </c>
      <c r="I343" s="8" t="s">
        <v>20</v>
      </c>
      <c r="J343" s="8" t="s">
        <v>21</v>
      </c>
      <c r="K343" s="9">
        <v>3</v>
      </c>
      <c r="L343" s="9">
        <v>1080</v>
      </c>
      <c r="M343" s="9">
        <f t="shared" si="5"/>
        <v>3240</v>
      </c>
    </row>
    <row r="344" spans="6:13" x14ac:dyDescent="0.3">
      <c r="F344" s="7">
        <v>44281</v>
      </c>
      <c r="G344" s="8" t="s">
        <v>17</v>
      </c>
      <c r="H344" s="8" t="s">
        <v>18</v>
      </c>
      <c r="I344" s="8" t="s">
        <v>22</v>
      </c>
      <c r="J344" s="8" t="s">
        <v>21</v>
      </c>
      <c r="K344" s="9">
        <v>5</v>
      </c>
      <c r="L344" s="9">
        <v>1575</v>
      </c>
      <c r="M344" s="9">
        <f t="shared" si="5"/>
        <v>7875</v>
      </c>
    </row>
    <row r="345" spans="6:13" x14ac:dyDescent="0.3">
      <c r="F345" s="7">
        <v>44281</v>
      </c>
      <c r="G345" s="8" t="s">
        <v>19</v>
      </c>
      <c r="H345" s="8" t="s">
        <v>18</v>
      </c>
      <c r="I345" s="8" t="s">
        <v>22</v>
      </c>
      <c r="J345" s="8" t="s">
        <v>21</v>
      </c>
      <c r="K345" s="9">
        <v>5</v>
      </c>
      <c r="L345" s="9">
        <v>790</v>
      </c>
      <c r="M345" s="9">
        <f t="shared" si="5"/>
        <v>3950</v>
      </c>
    </row>
    <row r="346" spans="6:13" x14ac:dyDescent="0.3">
      <c r="F346" s="7">
        <v>44281</v>
      </c>
      <c r="G346" s="8" t="s">
        <v>8</v>
      </c>
      <c r="H346" s="8" t="s">
        <v>9</v>
      </c>
      <c r="I346" s="8" t="s">
        <v>23</v>
      </c>
      <c r="J346" s="8" t="s">
        <v>24</v>
      </c>
      <c r="K346" s="9">
        <v>2</v>
      </c>
      <c r="L346" s="9">
        <v>2001</v>
      </c>
      <c r="M346" s="9">
        <f t="shared" si="5"/>
        <v>4002</v>
      </c>
    </row>
    <row r="347" spans="6:13" x14ac:dyDescent="0.3">
      <c r="F347" s="7">
        <v>44281</v>
      </c>
      <c r="G347" s="8" t="s">
        <v>12</v>
      </c>
      <c r="H347" s="8" t="s">
        <v>13</v>
      </c>
      <c r="I347" s="8" t="s">
        <v>25</v>
      </c>
      <c r="J347" s="8" t="s">
        <v>24</v>
      </c>
      <c r="K347" s="9">
        <v>25</v>
      </c>
      <c r="L347" s="9">
        <v>75</v>
      </c>
      <c r="M347" s="9">
        <f t="shared" si="5"/>
        <v>1875</v>
      </c>
    </row>
    <row r="348" spans="6:13" x14ac:dyDescent="0.3">
      <c r="F348" s="7">
        <v>44281</v>
      </c>
      <c r="G348" s="8" t="s">
        <v>15</v>
      </c>
      <c r="H348" s="8" t="s">
        <v>13</v>
      </c>
      <c r="I348" s="8" t="s">
        <v>25</v>
      </c>
      <c r="J348" s="8" t="s">
        <v>24</v>
      </c>
      <c r="K348" s="9">
        <v>9</v>
      </c>
      <c r="L348" s="9">
        <v>315</v>
      </c>
      <c r="M348" s="9">
        <f t="shared" si="5"/>
        <v>2835</v>
      </c>
    </row>
    <row r="349" spans="6:13" x14ac:dyDescent="0.3">
      <c r="F349" s="7">
        <v>44281</v>
      </c>
      <c r="G349" s="8" t="s">
        <v>16</v>
      </c>
      <c r="H349" s="8" t="s">
        <v>9</v>
      </c>
      <c r="I349" s="8" t="s">
        <v>23</v>
      </c>
      <c r="J349" s="8" t="s">
        <v>24</v>
      </c>
      <c r="K349" s="9">
        <v>2</v>
      </c>
      <c r="L349" s="9">
        <v>1080</v>
      </c>
      <c r="M349" s="9">
        <f t="shared" si="5"/>
        <v>2160</v>
      </c>
    </row>
    <row r="350" spans="6:13" x14ac:dyDescent="0.3">
      <c r="F350" s="7">
        <v>44281</v>
      </c>
      <c r="G350" s="8" t="s">
        <v>17</v>
      </c>
      <c r="H350" s="8" t="s">
        <v>18</v>
      </c>
      <c r="I350" s="8" t="s">
        <v>25</v>
      </c>
      <c r="J350" s="8" t="s">
        <v>24</v>
      </c>
      <c r="K350" s="9">
        <v>6</v>
      </c>
      <c r="L350" s="9">
        <v>1575</v>
      </c>
      <c r="M350" s="9">
        <f t="shared" si="5"/>
        <v>9450</v>
      </c>
    </row>
    <row r="351" spans="6:13" x14ac:dyDescent="0.3">
      <c r="F351" s="7">
        <v>44281</v>
      </c>
      <c r="G351" s="8" t="s">
        <v>19</v>
      </c>
      <c r="H351" s="8" t="s">
        <v>18</v>
      </c>
      <c r="I351" s="8" t="s">
        <v>25</v>
      </c>
      <c r="J351" s="8" t="s">
        <v>24</v>
      </c>
      <c r="K351" s="9">
        <v>9</v>
      </c>
      <c r="L351" s="9">
        <v>790</v>
      </c>
      <c r="M351" s="9">
        <f t="shared" si="5"/>
        <v>7110</v>
      </c>
    </row>
    <row r="352" spans="6:13" x14ac:dyDescent="0.3">
      <c r="F352" s="7">
        <v>44281</v>
      </c>
      <c r="G352" s="8" t="s">
        <v>8</v>
      </c>
      <c r="H352" s="8" t="s">
        <v>9</v>
      </c>
      <c r="I352" s="8" t="s">
        <v>26</v>
      </c>
      <c r="J352" s="8" t="s">
        <v>27</v>
      </c>
      <c r="K352" s="9">
        <v>4</v>
      </c>
      <c r="L352" s="9">
        <v>2001</v>
      </c>
      <c r="M352" s="9">
        <f t="shared" si="5"/>
        <v>8004</v>
      </c>
    </row>
    <row r="353" spans="6:13" x14ac:dyDescent="0.3">
      <c r="F353" s="7">
        <v>44281</v>
      </c>
      <c r="G353" s="8" t="s">
        <v>12</v>
      </c>
      <c r="H353" s="8" t="s">
        <v>13</v>
      </c>
      <c r="I353" s="8" t="s">
        <v>28</v>
      </c>
      <c r="J353" s="8" t="s">
        <v>27</v>
      </c>
      <c r="K353" s="9">
        <v>44</v>
      </c>
      <c r="L353" s="9">
        <v>75</v>
      </c>
      <c r="M353" s="9">
        <f t="shared" si="5"/>
        <v>3300</v>
      </c>
    </row>
    <row r="354" spans="6:13" x14ac:dyDescent="0.3">
      <c r="F354" s="7">
        <v>44281</v>
      </c>
      <c r="G354" s="8" t="s">
        <v>15</v>
      </c>
      <c r="H354" s="8" t="s">
        <v>13</v>
      </c>
      <c r="I354" s="8" t="s">
        <v>28</v>
      </c>
      <c r="J354" s="8" t="s">
        <v>27</v>
      </c>
      <c r="K354" s="9">
        <v>6</v>
      </c>
      <c r="L354" s="9">
        <v>315</v>
      </c>
      <c r="M354" s="9">
        <f t="shared" si="5"/>
        <v>1890</v>
      </c>
    </row>
    <row r="355" spans="6:13" x14ac:dyDescent="0.3">
      <c r="F355" s="7">
        <v>44281</v>
      </c>
      <c r="G355" s="8" t="s">
        <v>16</v>
      </c>
      <c r="H355" s="8" t="s">
        <v>9</v>
      </c>
      <c r="I355" s="8" t="s">
        <v>26</v>
      </c>
      <c r="J355" s="8" t="s">
        <v>27</v>
      </c>
      <c r="K355" s="9">
        <v>5</v>
      </c>
      <c r="L355" s="9">
        <v>1080</v>
      </c>
      <c r="M355" s="9">
        <f t="shared" si="5"/>
        <v>5400</v>
      </c>
    </row>
    <row r="356" spans="6:13" x14ac:dyDescent="0.3">
      <c r="F356" s="7">
        <v>44281</v>
      </c>
      <c r="G356" s="8" t="s">
        <v>17</v>
      </c>
      <c r="H356" s="8" t="s">
        <v>18</v>
      </c>
      <c r="I356" s="8" t="s">
        <v>28</v>
      </c>
      <c r="J356" s="8" t="s">
        <v>27</v>
      </c>
      <c r="K356" s="9">
        <v>3</v>
      </c>
      <c r="L356" s="9">
        <v>1575</v>
      </c>
      <c r="M356" s="9">
        <f t="shared" si="5"/>
        <v>4725</v>
      </c>
    </row>
    <row r="357" spans="6:13" x14ac:dyDescent="0.3">
      <c r="F357" s="7">
        <v>44281</v>
      </c>
      <c r="G357" s="8" t="s">
        <v>19</v>
      </c>
      <c r="H357" s="8" t="s">
        <v>18</v>
      </c>
      <c r="I357" s="8" t="s">
        <v>28</v>
      </c>
      <c r="J357" s="8" t="s">
        <v>27</v>
      </c>
      <c r="K357" s="9">
        <v>8</v>
      </c>
      <c r="L357" s="9">
        <v>790</v>
      </c>
      <c r="M357" s="9">
        <f t="shared" si="5"/>
        <v>6320</v>
      </c>
    </row>
    <row r="358" spans="6:13" x14ac:dyDescent="0.3">
      <c r="F358" s="7">
        <v>44281</v>
      </c>
      <c r="G358" s="8" t="s">
        <v>8</v>
      </c>
      <c r="H358" s="8" t="s">
        <v>9</v>
      </c>
      <c r="I358" s="8" t="s">
        <v>29</v>
      </c>
      <c r="J358" s="8" t="s">
        <v>30</v>
      </c>
      <c r="K358" s="9">
        <v>4</v>
      </c>
      <c r="L358" s="9">
        <v>2001</v>
      </c>
      <c r="M358" s="9">
        <f t="shared" si="5"/>
        <v>8004</v>
      </c>
    </row>
    <row r="359" spans="6:13" x14ac:dyDescent="0.3">
      <c r="F359" s="7">
        <v>44281</v>
      </c>
      <c r="G359" s="8" t="s">
        <v>12</v>
      </c>
      <c r="H359" s="8" t="s">
        <v>13</v>
      </c>
      <c r="I359" s="8" t="s">
        <v>31</v>
      </c>
      <c r="J359" s="8" t="s">
        <v>30</v>
      </c>
      <c r="K359" s="9">
        <v>51</v>
      </c>
      <c r="L359" s="9">
        <v>75</v>
      </c>
      <c r="M359" s="9">
        <f t="shared" si="5"/>
        <v>3825</v>
      </c>
    </row>
    <row r="360" spans="6:13" x14ac:dyDescent="0.3">
      <c r="F360" s="7">
        <v>44281</v>
      </c>
      <c r="G360" s="8" t="s">
        <v>15</v>
      </c>
      <c r="H360" s="8" t="s">
        <v>13</v>
      </c>
      <c r="I360" s="8" t="s">
        <v>31</v>
      </c>
      <c r="J360" s="8" t="s">
        <v>30</v>
      </c>
      <c r="K360" s="9">
        <v>10</v>
      </c>
      <c r="L360" s="9">
        <v>315</v>
      </c>
      <c r="M360" s="9">
        <f t="shared" si="5"/>
        <v>3150</v>
      </c>
    </row>
    <row r="361" spans="6:13" x14ac:dyDescent="0.3">
      <c r="F361" s="7">
        <v>44281</v>
      </c>
      <c r="G361" s="8" t="s">
        <v>16</v>
      </c>
      <c r="H361" s="8" t="s">
        <v>9</v>
      </c>
      <c r="I361" s="8" t="s">
        <v>29</v>
      </c>
      <c r="J361" s="8" t="s">
        <v>30</v>
      </c>
      <c r="K361" s="9">
        <v>4</v>
      </c>
      <c r="L361" s="9">
        <v>1080</v>
      </c>
      <c r="M361" s="9">
        <f t="shared" si="5"/>
        <v>4320</v>
      </c>
    </row>
    <row r="362" spans="6:13" x14ac:dyDescent="0.3">
      <c r="F362" s="7">
        <v>44281</v>
      </c>
      <c r="G362" s="8" t="s">
        <v>17</v>
      </c>
      <c r="H362" s="8" t="s">
        <v>18</v>
      </c>
      <c r="I362" s="8" t="s">
        <v>31</v>
      </c>
      <c r="J362" s="8" t="s">
        <v>30</v>
      </c>
      <c r="K362" s="9">
        <v>5</v>
      </c>
      <c r="L362" s="9">
        <v>1575</v>
      </c>
      <c r="M362" s="9">
        <f t="shared" si="5"/>
        <v>7875</v>
      </c>
    </row>
    <row r="363" spans="6:13" x14ac:dyDescent="0.3">
      <c r="F363" s="7">
        <v>44281</v>
      </c>
      <c r="G363" s="8" t="s">
        <v>19</v>
      </c>
      <c r="H363" s="8" t="s">
        <v>18</v>
      </c>
      <c r="I363" s="8" t="s">
        <v>31</v>
      </c>
      <c r="J363" s="8" t="s">
        <v>30</v>
      </c>
      <c r="K363" s="9">
        <v>9</v>
      </c>
      <c r="L363" s="9">
        <v>790</v>
      </c>
      <c r="M363" s="9">
        <f t="shared" si="5"/>
        <v>7110</v>
      </c>
    </row>
    <row r="364" spans="6:13" x14ac:dyDescent="0.3">
      <c r="F364" s="7">
        <v>44288</v>
      </c>
      <c r="G364" s="8" t="s">
        <v>8</v>
      </c>
      <c r="H364" s="8" t="s">
        <v>9</v>
      </c>
      <c r="I364" s="8" t="s">
        <v>10</v>
      </c>
      <c r="J364" s="8" t="s">
        <v>11</v>
      </c>
      <c r="K364" s="9">
        <v>6</v>
      </c>
      <c r="L364" s="9">
        <v>2001</v>
      </c>
      <c r="M364" s="9">
        <f t="shared" si="5"/>
        <v>12006</v>
      </c>
    </row>
    <row r="365" spans="6:13" x14ac:dyDescent="0.3">
      <c r="F365" s="7">
        <v>44288</v>
      </c>
      <c r="G365" s="8" t="s">
        <v>12</v>
      </c>
      <c r="H365" s="8" t="s">
        <v>13</v>
      </c>
      <c r="I365" s="8" t="s">
        <v>14</v>
      </c>
      <c r="J365" s="8" t="s">
        <v>11</v>
      </c>
      <c r="K365" s="9">
        <v>50</v>
      </c>
      <c r="L365" s="9">
        <v>75</v>
      </c>
      <c r="M365" s="9">
        <f t="shared" si="5"/>
        <v>3750</v>
      </c>
    </row>
    <row r="366" spans="6:13" x14ac:dyDescent="0.3">
      <c r="F366" s="7">
        <v>44288</v>
      </c>
      <c r="G366" s="8" t="s">
        <v>15</v>
      </c>
      <c r="H366" s="8" t="s">
        <v>13</v>
      </c>
      <c r="I366" s="8" t="s">
        <v>14</v>
      </c>
      <c r="J366" s="8" t="s">
        <v>11</v>
      </c>
      <c r="K366" s="9">
        <v>6</v>
      </c>
      <c r="L366" s="9">
        <v>315</v>
      </c>
      <c r="M366" s="9">
        <f t="shared" si="5"/>
        <v>1890</v>
      </c>
    </row>
    <row r="367" spans="6:13" x14ac:dyDescent="0.3">
      <c r="F367" s="7">
        <v>44288</v>
      </c>
      <c r="G367" s="8" t="s">
        <v>16</v>
      </c>
      <c r="H367" s="8" t="s">
        <v>9</v>
      </c>
      <c r="I367" s="8" t="s">
        <v>10</v>
      </c>
      <c r="J367" s="8" t="s">
        <v>11</v>
      </c>
      <c r="K367" s="9">
        <v>5</v>
      </c>
      <c r="L367" s="9">
        <v>1080</v>
      </c>
      <c r="M367" s="9">
        <f t="shared" si="5"/>
        <v>5400</v>
      </c>
    </row>
    <row r="368" spans="6:13" x14ac:dyDescent="0.3">
      <c r="F368" s="7">
        <v>44288</v>
      </c>
      <c r="G368" s="8" t="s">
        <v>17</v>
      </c>
      <c r="H368" s="8" t="s">
        <v>18</v>
      </c>
      <c r="I368" s="8" t="s">
        <v>10</v>
      </c>
      <c r="J368" s="8" t="s">
        <v>11</v>
      </c>
      <c r="K368" s="9">
        <v>4</v>
      </c>
      <c r="L368" s="9">
        <v>1575</v>
      </c>
      <c r="M368" s="9">
        <f t="shared" si="5"/>
        <v>6300</v>
      </c>
    </row>
    <row r="369" spans="6:13" x14ac:dyDescent="0.3">
      <c r="F369" s="7">
        <v>44288</v>
      </c>
      <c r="G369" s="8" t="s">
        <v>19</v>
      </c>
      <c r="H369" s="8" t="s">
        <v>18</v>
      </c>
      <c r="I369" s="8" t="s">
        <v>10</v>
      </c>
      <c r="J369" s="8" t="s">
        <v>11</v>
      </c>
      <c r="K369" s="9">
        <v>8</v>
      </c>
      <c r="L369" s="9">
        <v>790</v>
      </c>
      <c r="M369" s="9">
        <f t="shared" si="5"/>
        <v>6320</v>
      </c>
    </row>
    <row r="370" spans="6:13" x14ac:dyDescent="0.3">
      <c r="F370" s="7">
        <v>44288</v>
      </c>
      <c r="G370" s="8" t="s">
        <v>8</v>
      </c>
      <c r="H370" s="8" t="s">
        <v>9</v>
      </c>
      <c r="I370" s="8" t="s">
        <v>20</v>
      </c>
      <c r="J370" s="8" t="s">
        <v>21</v>
      </c>
      <c r="K370" s="9">
        <v>6</v>
      </c>
      <c r="L370" s="9">
        <v>2001</v>
      </c>
      <c r="M370" s="9">
        <f t="shared" si="5"/>
        <v>12006</v>
      </c>
    </row>
    <row r="371" spans="6:13" x14ac:dyDescent="0.3">
      <c r="F371" s="7">
        <v>44288</v>
      </c>
      <c r="G371" s="8" t="s">
        <v>12</v>
      </c>
      <c r="H371" s="8" t="s">
        <v>13</v>
      </c>
      <c r="I371" s="8" t="s">
        <v>22</v>
      </c>
      <c r="J371" s="8" t="s">
        <v>21</v>
      </c>
      <c r="K371" s="9">
        <v>45</v>
      </c>
      <c r="L371" s="9">
        <v>75</v>
      </c>
      <c r="M371" s="9">
        <f t="shared" si="5"/>
        <v>3375</v>
      </c>
    </row>
    <row r="372" spans="6:13" x14ac:dyDescent="0.3">
      <c r="F372" s="7">
        <v>44288</v>
      </c>
      <c r="G372" s="8" t="s">
        <v>15</v>
      </c>
      <c r="H372" s="8" t="s">
        <v>13</v>
      </c>
      <c r="I372" s="8" t="s">
        <v>22</v>
      </c>
      <c r="J372" s="8" t="s">
        <v>21</v>
      </c>
      <c r="K372" s="9">
        <v>15</v>
      </c>
      <c r="L372" s="9">
        <v>315</v>
      </c>
      <c r="M372" s="9">
        <f t="shared" si="5"/>
        <v>4725</v>
      </c>
    </row>
    <row r="373" spans="6:13" x14ac:dyDescent="0.3">
      <c r="F373" s="7">
        <v>44288</v>
      </c>
      <c r="G373" s="8" t="s">
        <v>16</v>
      </c>
      <c r="H373" s="8" t="s">
        <v>9</v>
      </c>
      <c r="I373" s="8" t="s">
        <v>20</v>
      </c>
      <c r="J373" s="8" t="s">
        <v>21</v>
      </c>
      <c r="K373" s="9">
        <v>6</v>
      </c>
      <c r="L373" s="9">
        <v>1080</v>
      </c>
      <c r="M373" s="9">
        <f t="shared" si="5"/>
        <v>6480</v>
      </c>
    </row>
    <row r="374" spans="6:13" x14ac:dyDescent="0.3">
      <c r="F374" s="7">
        <v>44288</v>
      </c>
      <c r="G374" s="8" t="s">
        <v>17</v>
      </c>
      <c r="H374" s="8" t="s">
        <v>18</v>
      </c>
      <c r="I374" s="8" t="s">
        <v>22</v>
      </c>
      <c r="J374" s="8" t="s">
        <v>21</v>
      </c>
      <c r="K374" s="9">
        <v>2</v>
      </c>
      <c r="L374" s="9">
        <v>1575</v>
      </c>
      <c r="M374" s="9">
        <f t="shared" si="5"/>
        <v>3150</v>
      </c>
    </row>
    <row r="375" spans="6:13" x14ac:dyDescent="0.3">
      <c r="F375" s="7">
        <v>44288</v>
      </c>
      <c r="G375" s="8" t="s">
        <v>19</v>
      </c>
      <c r="H375" s="8" t="s">
        <v>18</v>
      </c>
      <c r="I375" s="8" t="s">
        <v>22</v>
      </c>
      <c r="J375" s="8" t="s">
        <v>21</v>
      </c>
      <c r="K375" s="9">
        <v>10</v>
      </c>
      <c r="L375" s="9">
        <v>790</v>
      </c>
      <c r="M375" s="9">
        <f t="shared" si="5"/>
        <v>7900</v>
      </c>
    </row>
    <row r="376" spans="6:13" x14ac:dyDescent="0.3">
      <c r="F376" s="7">
        <v>44288</v>
      </c>
      <c r="G376" s="8" t="s">
        <v>8</v>
      </c>
      <c r="H376" s="8" t="s">
        <v>9</v>
      </c>
      <c r="I376" s="8" t="s">
        <v>23</v>
      </c>
      <c r="J376" s="8" t="s">
        <v>24</v>
      </c>
      <c r="K376" s="9">
        <v>6</v>
      </c>
      <c r="L376" s="9">
        <v>2001</v>
      </c>
      <c r="M376" s="9">
        <f t="shared" si="5"/>
        <v>12006</v>
      </c>
    </row>
    <row r="377" spans="6:13" x14ac:dyDescent="0.3">
      <c r="F377" s="7">
        <v>44288</v>
      </c>
      <c r="G377" s="8" t="s">
        <v>12</v>
      </c>
      <c r="H377" s="8" t="s">
        <v>13</v>
      </c>
      <c r="I377" s="8" t="s">
        <v>25</v>
      </c>
      <c r="J377" s="8" t="s">
        <v>24</v>
      </c>
      <c r="K377" s="9">
        <v>43</v>
      </c>
      <c r="L377" s="9">
        <v>75</v>
      </c>
      <c r="M377" s="9">
        <f t="shared" si="5"/>
        <v>3225</v>
      </c>
    </row>
    <row r="378" spans="6:13" x14ac:dyDescent="0.3">
      <c r="F378" s="7">
        <v>44288</v>
      </c>
      <c r="G378" s="8" t="s">
        <v>15</v>
      </c>
      <c r="H378" s="8" t="s">
        <v>13</v>
      </c>
      <c r="I378" s="8" t="s">
        <v>23</v>
      </c>
      <c r="J378" s="8" t="s">
        <v>24</v>
      </c>
      <c r="K378" s="9">
        <v>6</v>
      </c>
      <c r="L378" s="9">
        <v>315</v>
      </c>
      <c r="M378" s="9">
        <f t="shared" si="5"/>
        <v>1890</v>
      </c>
    </row>
    <row r="379" spans="6:13" x14ac:dyDescent="0.3">
      <c r="F379" s="7">
        <v>44288</v>
      </c>
      <c r="G379" s="8" t="s">
        <v>16</v>
      </c>
      <c r="H379" s="8" t="s">
        <v>9</v>
      </c>
      <c r="I379" s="8" t="s">
        <v>23</v>
      </c>
      <c r="J379" s="8" t="s">
        <v>24</v>
      </c>
      <c r="K379" s="9">
        <v>3</v>
      </c>
      <c r="L379" s="9">
        <v>1080</v>
      </c>
      <c r="M379" s="9">
        <f t="shared" si="5"/>
        <v>3240</v>
      </c>
    </row>
    <row r="380" spans="6:13" x14ac:dyDescent="0.3">
      <c r="F380" s="7">
        <v>44288</v>
      </c>
      <c r="G380" s="8" t="s">
        <v>17</v>
      </c>
      <c r="H380" s="8" t="s">
        <v>18</v>
      </c>
      <c r="I380" s="8" t="s">
        <v>25</v>
      </c>
      <c r="J380" s="8" t="s">
        <v>24</v>
      </c>
      <c r="K380" s="9">
        <v>3</v>
      </c>
      <c r="L380" s="9">
        <v>1575</v>
      </c>
      <c r="M380" s="9">
        <f t="shared" si="5"/>
        <v>4725</v>
      </c>
    </row>
    <row r="381" spans="6:13" x14ac:dyDescent="0.3">
      <c r="F381" s="7">
        <v>44288</v>
      </c>
      <c r="G381" s="8" t="s">
        <v>19</v>
      </c>
      <c r="H381" s="8" t="s">
        <v>18</v>
      </c>
      <c r="I381" s="8" t="s">
        <v>25</v>
      </c>
      <c r="J381" s="8" t="s">
        <v>24</v>
      </c>
      <c r="K381" s="9">
        <v>8</v>
      </c>
      <c r="L381" s="9">
        <v>790</v>
      </c>
      <c r="M381" s="9">
        <f t="shared" si="5"/>
        <v>6320</v>
      </c>
    </row>
    <row r="382" spans="6:13" x14ac:dyDescent="0.3">
      <c r="F382" s="7">
        <v>44288</v>
      </c>
      <c r="G382" s="8" t="s">
        <v>8</v>
      </c>
      <c r="H382" s="8" t="s">
        <v>9</v>
      </c>
      <c r="I382" s="8" t="s">
        <v>26</v>
      </c>
      <c r="J382" s="8" t="s">
        <v>27</v>
      </c>
      <c r="K382" s="9">
        <v>3</v>
      </c>
      <c r="L382" s="9">
        <v>2001</v>
      </c>
      <c r="M382" s="9">
        <f t="shared" si="5"/>
        <v>6003</v>
      </c>
    </row>
    <row r="383" spans="6:13" x14ac:dyDescent="0.3">
      <c r="F383" s="7">
        <v>44288</v>
      </c>
      <c r="G383" s="8" t="s">
        <v>12</v>
      </c>
      <c r="H383" s="8" t="s">
        <v>13</v>
      </c>
      <c r="I383" s="8" t="s">
        <v>26</v>
      </c>
      <c r="J383" s="8" t="s">
        <v>27</v>
      </c>
      <c r="K383" s="9">
        <v>38</v>
      </c>
      <c r="L383" s="9">
        <v>75</v>
      </c>
      <c r="M383" s="9">
        <f t="shared" si="5"/>
        <v>2850</v>
      </c>
    </row>
    <row r="384" spans="6:13" x14ac:dyDescent="0.3">
      <c r="F384" s="7">
        <v>44288</v>
      </c>
      <c r="G384" s="8" t="s">
        <v>15</v>
      </c>
      <c r="H384" s="8" t="s">
        <v>13</v>
      </c>
      <c r="I384" s="8" t="s">
        <v>26</v>
      </c>
      <c r="J384" s="8" t="s">
        <v>27</v>
      </c>
      <c r="K384" s="9">
        <v>12</v>
      </c>
      <c r="L384" s="9">
        <v>315</v>
      </c>
      <c r="M384" s="9">
        <f t="shared" si="5"/>
        <v>3780</v>
      </c>
    </row>
    <row r="385" spans="6:13" x14ac:dyDescent="0.3">
      <c r="F385" s="7">
        <v>44288</v>
      </c>
      <c r="G385" s="8" t="s">
        <v>16</v>
      </c>
      <c r="H385" s="8" t="s">
        <v>9</v>
      </c>
      <c r="I385" s="8" t="s">
        <v>26</v>
      </c>
      <c r="J385" s="8" t="s">
        <v>27</v>
      </c>
      <c r="K385" s="9">
        <v>2</v>
      </c>
      <c r="L385" s="9">
        <v>1080</v>
      </c>
      <c r="M385" s="9">
        <f t="shared" si="5"/>
        <v>2160</v>
      </c>
    </row>
    <row r="386" spans="6:13" x14ac:dyDescent="0.3">
      <c r="F386" s="7">
        <v>44288</v>
      </c>
      <c r="G386" s="8" t="s">
        <v>17</v>
      </c>
      <c r="H386" s="8" t="s">
        <v>18</v>
      </c>
      <c r="I386" s="8" t="s">
        <v>28</v>
      </c>
      <c r="J386" s="8" t="s">
        <v>27</v>
      </c>
      <c r="K386" s="9">
        <v>6</v>
      </c>
      <c r="L386" s="9">
        <v>1575</v>
      </c>
      <c r="M386" s="9">
        <f t="shared" si="5"/>
        <v>9450</v>
      </c>
    </row>
    <row r="387" spans="6:13" x14ac:dyDescent="0.3">
      <c r="F387" s="7">
        <v>44288</v>
      </c>
      <c r="G387" s="8" t="s">
        <v>19</v>
      </c>
      <c r="H387" s="8" t="s">
        <v>18</v>
      </c>
      <c r="I387" s="8" t="s">
        <v>28</v>
      </c>
      <c r="J387" s="8" t="s">
        <v>27</v>
      </c>
      <c r="K387" s="9">
        <v>8</v>
      </c>
      <c r="L387" s="9">
        <v>790</v>
      </c>
      <c r="M387" s="9">
        <f t="shared" si="5"/>
        <v>6320</v>
      </c>
    </row>
    <row r="388" spans="6:13" x14ac:dyDescent="0.3">
      <c r="F388" s="7">
        <v>44288</v>
      </c>
      <c r="G388" s="8" t="s">
        <v>8</v>
      </c>
      <c r="H388" s="8" t="s">
        <v>9</v>
      </c>
      <c r="I388" s="8" t="s">
        <v>29</v>
      </c>
      <c r="J388" s="8" t="s">
        <v>30</v>
      </c>
      <c r="K388" s="9">
        <v>6</v>
      </c>
      <c r="L388" s="9">
        <v>2001</v>
      </c>
      <c r="M388" s="9">
        <f t="shared" ref="M388:M451" si="6">K388*L388</f>
        <v>12006</v>
      </c>
    </row>
    <row r="389" spans="6:13" x14ac:dyDescent="0.3">
      <c r="F389" s="7">
        <v>44288</v>
      </c>
      <c r="G389" s="8" t="s">
        <v>12</v>
      </c>
      <c r="H389" s="8" t="s">
        <v>13</v>
      </c>
      <c r="I389" s="8" t="s">
        <v>31</v>
      </c>
      <c r="J389" s="8" t="s">
        <v>30</v>
      </c>
      <c r="K389" s="9">
        <v>55</v>
      </c>
      <c r="L389" s="9">
        <v>75</v>
      </c>
      <c r="M389" s="9">
        <f t="shared" si="6"/>
        <v>4125</v>
      </c>
    </row>
    <row r="390" spans="6:13" x14ac:dyDescent="0.3">
      <c r="F390" s="7">
        <v>44288</v>
      </c>
      <c r="G390" s="8" t="s">
        <v>15</v>
      </c>
      <c r="H390" s="8" t="s">
        <v>13</v>
      </c>
      <c r="I390" s="8" t="s">
        <v>31</v>
      </c>
      <c r="J390" s="8" t="s">
        <v>30</v>
      </c>
      <c r="K390" s="9">
        <v>13</v>
      </c>
      <c r="L390" s="9">
        <v>315</v>
      </c>
      <c r="M390" s="9">
        <f t="shared" si="6"/>
        <v>4095</v>
      </c>
    </row>
    <row r="391" spans="6:13" x14ac:dyDescent="0.3">
      <c r="F391" s="7">
        <v>44288</v>
      </c>
      <c r="G391" s="8" t="s">
        <v>16</v>
      </c>
      <c r="H391" s="8" t="s">
        <v>9</v>
      </c>
      <c r="I391" s="8" t="s">
        <v>29</v>
      </c>
      <c r="J391" s="8" t="s">
        <v>30</v>
      </c>
      <c r="K391" s="9">
        <v>4</v>
      </c>
      <c r="L391" s="9">
        <v>1080</v>
      </c>
      <c r="M391" s="9">
        <f t="shared" si="6"/>
        <v>4320</v>
      </c>
    </row>
    <row r="392" spans="6:13" x14ac:dyDescent="0.3">
      <c r="F392" s="7">
        <v>44288</v>
      </c>
      <c r="G392" s="8" t="s">
        <v>17</v>
      </c>
      <c r="H392" s="8" t="s">
        <v>18</v>
      </c>
      <c r="I392" s="8" t="s">
        <v>31</v>
      </c>
      <c r="J392" s="8" t="s">
        <v>30</v>
      </c>
      <c r="K392" s="9">
        <v>2</v>
      </c>
      <c r="L392" s="9">
        <v>1575</v>
      </c>
      <c r="M392" s="9">
        <f t="shared" si="6"/>
        <v>3150</v>
      </c>
    </row>
    <row r="393" spans="6:13" x14ac:dyDescent="0.3">
      <c r="F393" s="7">
        <v>44288</v>
      </c>
      <c r="G393" s="8" t="s">
        <v>19</v>
      </c>
      <c r="H393" s="8" t="s">
        <v>18</v>
      </c>
      <c r="I393" s="8" t="s">
        <v>31</v>
      </c>
      <c r="J393" s="8" t="s">
        <v>30</v>
      </c>
      <c r="K393" s="9">
        <v>7</v>
      </c>
      <c r="L393" s="9">
        <v>790</v>
      </c>
      <c r="M393" s="9">
        <f t="shared" si="6"/>
        <v>5530</v>
      </c>
    </row>
    <row r="394" spans="6:13" x14ac:dyDescent="0.3">
      <c r="F394" s="7">
        <v>44295</v>
      </c>
      <c r="G394" s="8" t="s">
        <v>8</v>
      </c>
      <c r="H394" s="8" t="s">
        <v>9</v>
      </c>
      <c r="I394" s="8" t="s">
        <v>10</v>
      </c>
      <c r="J394" s="8" t="s">
        <v>11</v>
      </c>
      <c r="K394" s="9">
        <v>5</v>
      </c>
      <c r="L394" s="9">
        <v>2001</v>
      </c>
      <c r="M394" s="9">
        <f t="shared" si="6"/>
        <v>10005</v>
      </c>
    </row>
    <row r="395" spans="6:13" x14ac:dyDescent="0.3">
      <c r="F395" s="7">
        <v>44295</v>
      </c>
      <c r="G395" s="8" t="s">
        <v>12</v>
      </c>
      <c r="H395" s="8" t="s">
        <v>13</v>
      </c>
      <c r="I395" s="8" t="s">
        <v>14</v>
      </c>
      <c r="J395" s="8" t="s">
        <v>11</v>
      </c>
      <c r="K395" s="9">
        <v>42</v>
      </c>
      <c r="L395" s="9">
        <v>75</v>
      </c>
      <c r="M395" s="9">
        <f t="shared" si="6"/>
        <v>3150</v>
      </c>
    </row>
    <row r="396" spans="6:13" x14ac:dyDescent="0.3">
      <c r="F396" s="7">
        <v>44295</v>
      </c>
      <c r="G396" s="8" t="s">
        <v>15</v>
      </c>
      <c r="H396" s="8" t="s">
        <v>13</v>
      </c>
      <c r="I396" s="8" t="s">
        <v>14</v>
      </c>
      <c r="J396" s="8" t="s">
        <v>11</v>
      </c>
      <c r="K396" s="9">
        <v>9</v>
      </c>
      <c r="L396" s="9">
        <v>315</v>
      </c>
      <c r="M396" s="9">
        <f t="shared" si="6"/>
        <v>2835</v>
      </c>
    </row>
    <row r="397" spans="6:13" x14ac:dyDescent="0.3">
      <c r="F397" s="7">
        <v>44295</v>
      </c>
      <c r="G397" s="8" t="s">
        <v>16</v>
      </c>
      <c r="H397" s="8" t="s">
        <v>9</v>
      </c>
      <c r="I397" s="8" t="s">
        <v>10</v>
      </c>
      <c r="J397" s="8" t="s">
        <v>11</v>
      </c>
      <c r="K397" s="9">
        <v>6</v>
      </c>
      <c r="L397" s="9">
        <v>1080</v>
      </c>
      <c r="M397" s="9">
        <f t="shared" si="6"/>
        <v>6480</v>
      </c>
    </row>
    <row r="398" spans="6:13" x14ac:dyDescent="0.3">
      <c r="F398" s="7">
        <v>44295</v>
      </c>
      <c r="G398" s="8" t="s">
        <v>17</v>
      </c>
      <c r="H398" s="8" t="s">
        <v>18</v>
      </c>
      <c r="I398" s="8" t="s">
        <v>10</v>
      </c>
      <c r="J398" s="8" t="s">
        <v>11</v>
      </c>
      <c r="K398" s="9">
        <v>2</v>
      </c>
      <c r="L398" s="9">
        <v>1575</v>
      </c>
      <c r="M398" s="9">
        <f t="shared" si="6"/>
        <v>3150</v>
      </c>
    </row>
    <row r="399" spans="6:13" x14ac:dyDescent="0.3">
      <c r="F399" s="7">
        <v>44295</v>
      </c>
      <c r="G399" s="8" t="s">
        <v>19</v>
      </c>
      <c r="H399" s="8" t="s">
        <v>18</v>
      </c>
      <c r="I399" s="8" t="s">
        <v>10</v>
      </c>
      <c r="J399" s="8" t="s">
        <v>11</v>
      </c>
      <c r="K399" s="9">
        <v>9</v>
      </c>
      <c r="L399" s="9">
        <v>790</v>
      </c>
      <c r="M399" s="9">
        <f t="shared" si="6"/>
        <v>7110</v>
      </c>
    </row>
    <row r="400" spans="6:13" x14ac:dyDescent="0.3">
      <c r="F400" s="7">
        <v>44295</v>
      </c>
      <c r="G400" s="8" t="s">
        <v>8</v>
      </c>
      <c r="H400" s="8" t="s">
        <v>9</v>
      </c>
      <c r="I400" s="8" t="s">
        <v>20</v>
      </c>
      <c r="J400" s="8" t="s">
        <v>21</v>
      </c>
      <c r="K400" s="9">
        <v>5</v>
      </c>
      <c r="L400" s="9">
        <v>2001</v>
      </c>
      <c r="M400" s="9">
        <f t="shared" si="6"/>
        <v>10005</v>
      </c>
    </row>
    <row r="401" spans="6:13" x14ac:dyDescent="0.3">
      <c r="F401" s="7">
        <v>44295</v>
      </c>
      <c r="G401" s="8" t="s">
        <v>12</v>
      </c>
      <c r="H401" s="8" t="s">
        <v>13</v>
      </c>
      <c r="I401" s="8" t="s">
        <v>22</v>
      </c>
      <c r="J401" s="8" t="s">
        <v>21</v>
      </c>
      <c r="K401" s="9">
        <v>66</v>
      </c>
      <c r="L401" s="9">
        <v>75</v>
      </c>
      <c r="M401" s="9">
        <f t="shared" si="6"/>
        <v>4950</v>
      </c>
    </row>
    <row r="402" spans="6:13" x14ac:dyDescent="0.3">
      <c r="F402" s="7">
        <v>44295</v>
      </c>
      <c r="G402" s="8" t="s">
        <v>15</v>
      </c>
      <c r="H402" s="8" t="s">
        <v>13</v>
      </c>
      <c r="I402" s="8" t="s">
        <v>22</v>
      </c>
      <c r="J402" s="8" t="s">
        <v>21</v>
      </c>
      <c r="K402" s="9">
        <v>15</v>
      </c>
      <c r="L402" s="9">
        <v>315</v>
      </c>
      <c r="M402" s="9">
        <f t="shared" si="6"/>
        <v>4725</v>
      </c>
    </row>
    <row r="403" spans="6:13" x14ac:dyDescent="0.3">
      <c r="F403" s="7">
        <v>44295</v>
      </c>
      <c r="G403" s="8" t="s">
        <v>16</v>
      </c>
      <c r="H403" s="8" t="s">
        <v>9</v>
      </c>
      <c r="I403" s="8" t="s">
        <v>20</v>
      </c>
      <c r="J403" s="8" t="s">
        <v>21</v>
      </c>
      <c r="K403" s="9">
        <v>3</v>
      </c>
      <c r="L403" s="9">
        <v>1080</v>
      </c>
      <c r="M403" s="9">
        <f t="shared" si="6"/>
        <v>3240</v>
      </c>
    </row>
    <row r="404" spans="6:13" x14ac:dyDescent="0.3">
      <c r="F404" s="7">
        <v>44295</v>
      </c>
      <c r="G404" s="8" t="s">
        <v>17</v>
      </c>
      <c r="H404" s="8" t="s">
        <v>18</v>
      </c>
      <c r="I404" s="8" t="s">
        <v>22</v>
      </c>
      <c r="J404" s="8" t="s">
        <v>21</v>
      </c>
      <c r="K404" s="9">
        <v>6</v>
      </c>
      <c r="L404" s="9">
        <v>1575</v>
      </c>
      <c r="M404" s="9">
        <f t="shared" si="6"/>
        <v>9450</v>
      </c>
    </row>
    <row r="405" spans="6:13" x14ac:dyDescent="0.3">
      <c r="F405" s="7">
        <v>44295</v>
      </c>
      <c r="G405" s="8" t="s">
        <v>19</v>
      </c>
      <c r="H405" s="8" t="s">
        <v>18</v>
      </c>
      <c r="I405" s="8" t="s">
        <v>22</v>
      </c>
      <c r="J405" s="8" t="s">
        <v>21</v>
      </c>
      <c r="K405" s="9">
        <v>9</v>
      </c>
      <c r="L405" s="9">
        <v>790</v>
      </c>
      <c r="M405" s="9">
        <f t="shared" si="6"/>
        <v>7110</v>
      </c>
    </row>
    <row r="406" spans="6:13" x14ac:dyDescent="0.3">
      <c r="F406" s="7">
        <v>44295</v>
      </c>
      <c r="G406" s="8" t="s">
        <v>8</v>
      </c>
      <c r="H406" s="8" t="s">
        <v>9</v>
      </c>
      <c r="I406" s="8" t="s">
        <v>23</v>
      </c>
      <c r="J406" s="8" t="s">
        <v>24</v>
      </c>
      <c r="K406" s="9">
        <v>5</v>
      </c>
      <c r="L406" s="9">
        <v>2001</v>
      </c>
      <c r="M406" s="9">
        <f t="shared" si="6"/>
        <v>10005</v>
      </c>
    </row>
    <row r="407" spans="6:13" x14ac:dyDescent="0.3">
      <c r="F407" s="7">
        <v>44295</v>
      </c>
      <c r="G407" s="8" t="s">
        <v>12</v>
      </c>
      <c r="H407" s="8" t="s">
        <v>13</v>
      </c>
      <c r="I407" s="8" t="s">
        <v>23</v>
      </c>
      <c r="J407" s="8" t="s">
        <v>24</v>
      </c>
      <c r="K407" s="9">
        <v>44</v>
      </c>
      <c r="L407" s="9">
        <v>75</v>
      </c>
      <c r="M407" s="9">
        <f t="shared" si="6"/>
        <v>3300</v>
      </c>
    </row>
    <row r="408" spans="6:13" x14ac:dyDescent="0.3">
      <c r="F408" s="7">
        <v>44295</v>
      </c>
      <c r="G408" s="8" t="s">
        <v>15</v>
      </c>
      <c r="H408" s="8" t="s">
        <v>13</v>
      </c>
      <c r="I408" s="8" t="s">
        <v>23</v>
      </c>
      <c r="J408" s="8" t="s">
        <v>24</v>
      </c>
      <c r="K408" s="9">
        <v>6</v>
      </c>
      <c r="L408" s="9">
        <v>315</v>
      </c>
      <c r="M408" s="9">
        <f t="shared" si="6"/>
        <v>1890</v>
      </c>
    </row>
    <row r="409" spans="6:13" x14ac:dyDescent="0.3">
      <c r="F409" s="7">
        <v>44295</v>
      </c>
      <c r="G409" s="8" t="s">
        <v>16</v>
      </c>
      <c r="H409" s="8" t="s">
        <v>9</v>
      </c>
      <c r="I409" s="8" t="s">
        <v>23</v>
      </c>
      <c r="J409" s="8" t="s">
        <v>24</v>
      </c>
      <c r="K409" s="9">
        <v>4</v>
      </c>
      <c r="L409" s="9">
        <v>1080</v>
      </c>
      <c r="M409" s="9">
        <f t="shared" si="6"/>
        <v>4320</v>
      </c>
    </row>
    <row r="410" spans="6:13" x14ac:dyDescent="0.3">
      <c r="F410" s="7">
        <v>44295</v>
      </c>
      <c r="G410" s="8" t="s">
        <v>17</v>
      </c>
      <c r="H410" s="8" t="s">
        <v>18</v>
      </c>
      <c r="I410" s="8" t="s">
        <v>25</v>
      </c>
      <c r="J410" s="8" t="s">
        <v>24</v>
      </c>
      <c r="K410" s="9">
        <v>2</v>
      </c>
      <c r="L410" s="9">
        <v>1575</v>
      </c>
      <c r="M410" s="9">
        <f t="shared" si="6"/>
        <v>3150</v>
      </c>
    </row>
    <row r="411" spans="6:13" x14ac:dyDescent="0.3">
      <c r="F411" s="7">
        <v>44295</v>
      </c>
      <c r="G411" s="8" t="s">
        <v>19</v>
      </c>
      <c r="H411" s="8" t="s">
        <v>18</v>
      </c>
      <c r="I411" s="8" t="s">
        <v>25</v>
      </c>
      <c r="J411" s="8" t="s">
        <v>24</v>
      </c>
      <c r="K411" s="9">
        <v>6</v>
      </c>
      <c r="L411" s="9">
        <v>790</v>
      </c>
      <c r="M411" s="9">
        <f t="shared" si="6"/>
        <v>4740</v>
      </c>
    </row>
    <row r="412" spans="6:13" x14ac:dyDescent="0.3">
      <c r="F412" s="7">
        <v>44295</v>
      </c>
      <c r="G412" s="8" t="s">
        <v>8</v>
      </c>
      <c r="H412" s="8" t="s">
        <v>9</v>
      </c>
      <c r="I412" s="8" t="s">
        <v>26</v>
      </c>
      <c r="J412" s="8" t="s">
        <v>27</v>
      </c>
      <c r="K412" s="9">
        <v>3</v>
      </c>
      <c r="L412" s="9">
        <v>2001</v>
      </c>
      <c r="M412" s="9">
        <f t="shared" si="6"/>
        <v>6003</v>
      </c>
    </row>
    <row r="413" spans="6:13" x14ac:dyDescent="0.3">
      <c r="F413" s="7">
        <v>44295</v>
      </c>
      <c r="G413" s="8" t="s">
        <v>12</v>
      </c>
      <c r="H413" s="8" t="s">
        <v>13</v>
      </c>
      <c r="I413" s="8" t="s">
        <v>26</v>
      </c>
      <c r="J413" s="8" t="s">
        <v>27</v>
      </c>
      <c r="K413" s="9">
        <v>45</v>
      </c>
      <c r="L413" s="9">
        <v>75</v>
      </c>
      <c r="M413" s="9">
        <f t="shared" si="6"/>
        <v>3375</v>
      </c>
    </row>
    <row r="414" spans="6:13" x14ac:dyDescent="0.3">
      <c r="F414" s="7">
        <v>44295</v>
      </c>
      <c r="G414" s="8" t="s">
        <v>15</v>
      </c>
      <c r="H414" s="8" t="s">
        <v>13</v>
      </c>
      <c r="I414" s="8" t="s">
        <v>26</v>
      </c>
      <c r="J414" s="8" t="s">
        <v>27</v>
      </c>
      <c r="K414" s="9">
        <v>6</v>
      </c>
      <c r="L414" s="9">
        <v>315</v>
      </c>
      <c r="M414" s="9">
        <f t="shared" si="6"/>
        <v>1890</v>
      </c>
    </row>
    <row r="415" spans="6:13" x14ac:dyDescent="0.3">
      <c r="F415" s="7">
        <v>44295</v>
      </c>
      <c r="G415" s="8" t="s">
        <v>16</v>
      </c>
      <c r="H415" s="8" t="s">
        <v>9</v>
      </c>
      <c r="I415" s="8" t="s">
        <v>26</v>
      </c>
      <c r="J415" s="8" t="s">
        <v>27</v>
      </c>
      <c r="K415" s="9">
        <v>6</v>
      </c>
      <c r="L415" s="9">
        <v>1080</v>
      </c>
      <c r="M415" s="9">
        <f t="shared" si="6"/>
        <v>6480</v>
      </c>
    </row>
    <row r="416" spans="6:13" x14ac:dyDescent="0.3">
      <c r="F416" s="7">
        <v>44295</v>
      </c>
      <c r="G416" s="8" t="s">
        <v>17</v>
      </c>
      <c r="H416" s="8" t="s">
        <v>18</v>
      </c>
      <c r="I416" s="8" t="s">
        <v>28</v>
      </c>
      <c r="J416" s="8" t="s">
        <v>27</v>
      </c>
      <c r="K416" s="9">
        <v>2</v>
      </c>
      <c r="L416" s="9">
        <v>1575</v>
      </c>
      <c r="M416" s="9">
        <f t="shared" si="6"/>
        <v>3150</v>
      </c>
    </row>
    <row r="417" spans="6:13" x14ac:dyDescent="0.3">
      <c r="F417" s="7">
        <v>44295</v>
      </c>
      <c r="G417" s="8" t="s">
        <v>19</v>
      </c>
      <c r="H417" s="8" t="s">
        <v>18</v>
      </c>
      <c r="I417" s="8" t="s">
        <v>28</v>
      </c>
      <c r="J417" s="8" t="s">
        <v>27</v>
      </c>
      <c r="K417" s="9">
        <v>6</v>
      </c>
      <c r="L417" s="9">
        <v>790</v>
      </c>
      <c r="M417" s="9">
        <f t="shared" si="6"/>
        <v>4740</v>
      </c>
    </row>
    <row r="418" spans="6:13" x14ac:dyDescent="0.3">
      <c r="F418" s="7">
        <v>44295</v>
      </c>
      <c r="G418" s="8" t="s">
        <v>8</v>
      </c>
      <c r="H418" s="8" t="s">
        <v>9</v>
      </c>
      <c r="I418" s="8" t="s">
        <v>29</v>
      </c>
      <c r="J418" s="8" t="s">
        <v>30</v>
      </c>
      <c r="K418" s="9">
        <v>4</v>
      </c>
      <c r="L418" s="9">
        <v>2001</v>
      </c>
      <c r="M418" s="9">
        <f t="shared" si="6"/>
        <v>8004</v>
      </c>
    </row>
    <row r="419" spans="6:13" x14ac:dyDescent="0.3">
      <c r="F419" s="7">
        <v>44295</v>
      </c>
      <c r="G419" s="8" t="s">
        <v>12</v>
      </c>
      <c r="H419" s="8" t="s">
        <v>13</v>
      </c>
      <c r="I419" s="8" t="s">
        <v>31</v>
      </c>
      <c r="J419" s="8" t="s">
        <v>30</v>
      </c>
      <c r="K419" s="9">
        <v>37</v>
      </c>
      <c r="L419" s="9">
        <v>75</v>
      </c>
      <c r="M419" s="9">
        <f t="shared" si="6"/>
        <v>2775</v>
      </c>
    </row>
    <row r="420" spans="6:13" x14ac:dyDescent="0.3">
      <c r="F420" s="7">
        <v>44295</v>
      </c>
      <c r="G420" s="8" t="s">
        <v>15</v>
      </c>
      <c r="H420" s="8" t="s">
        <v>13</v>
      </c>
      <c r="I420" s="8" t="s">
        <v>31</v>
      </c>
      <c r="J420" s="8" t="s">
        <v>30</v>
      </c>
      <c r="K420" s="9">
        <v>8</v>
      </c>
      <c r="L420" s="9">
        <v>315</v>
      </c>
      <c r="M420" s="9">
        <f t="shared" si="6"/>
        <v>2520</v>
      </c>
    </row>
    <row r="421" spans="6:13" x14ac:dyDescent="0.3">
      <c r="F421" s="7">
        <v>44295</v>
      </c>
      <c r="G421" s="8" t="s">
        <v>16</v>
      </c>
      <c r="H421" s="8" t="s">
        <v>9</v>
      </c>
      <c r="I421" s="8" t="s">
        <v>29</v>
      </c>
      <c r="J421" s="8" t="s">
        <v>30</v>
      </c>
      <c r="K421" s="9">
        <v>5</v>
      </c>
      <c r="L421" s="9">
        <v>1080</v>
      </c>
      <c r="M421" s="9">
        <f t="shared" si="6"/>
        <v>5400</v>
      </c>
    </row>
    <row r="422" spans="6:13" x14ac:dyDescent="0.3">
      <c r="F422" s="7">
        <v>44295</v>
      </c>
      <c r="G422" s="8" t="s">
        <v>17</v>
      </c>
      <c r="H422" s="8" t="s">
        <v>18</v>
      </c>
      <c r="I422" s="8" t="s">
        <v>31</v>
      </c>
      <c r="J422" s="8" t="s">
        <v>30</v>
      </c>
      <c r="K422" s="9">
        <v>2</v>
      </c>
      <c r="L422" s="9">
        <v>1575</v>
      </c>
      <c r="M422" s="9">
        <f t="shared" si="6"/>
        <v>3150</v>
      </c>
    </row>
    <row r="423" spans="6:13" x14ac:dyDescent="0.3">
      <c r="F423" s="7">
        <v>44295</v>
      </c>
      <c r="G423" s="8" t="s">
        <v>19</v>
      </c>
      <c r="H423" s="8" t="s">
        <v>18</v>
      </c>
      <c r="I423" s="8" t="s">
        <v>31</v>
      </c>
      <c r="J423" s="8" t="s">
        <v>30</v>
      </c>
      <c r="K423" s="9">
        <v>8</v>
      </c>
      <c r="L423" s="9">
        <v>790</v>
      </c>
      <c r="M423" s="9">
        <f t="shared" si="6"/>
        <v>6320</v>
      </c>
    </row>
    <row r="424" spans="6:13" x14ac:dyDescent="0.3">
      <c r="F424" s="7">
        <v>44302</v>
      </c>
      <c r="G424" s="8" t="s">
        <v>8</v>
      </c>
      <c r="H424" s="8" t="s">
        <v>9</v>
      </c>
      <c r="I424" s="8" t="s">
        <v>10</v>
      </c>
      <c r="J424" s="8" t="s">
        <v>11</v>
      </c>
      <c r="K424" s="9">
        <v>3</v>
      </c>
      <c r="L424" s="9">
        <v>2001</v>
      </c>
      <c r="M424" s="9">
        <f t="shared" si="6"/>
        <v>6003</v>
      </c>
    </row>
    <row r="425" spans="6:13" x14ac:dyDescent="0.3">
      <c r="F425" s="7">
        <v>44302</v>
      </c>
      <c r="G425" s="8" t="s">
        <v>12</v>
      </c>
      <c r="H425" s="8" t="s">
        <v>13</v>
      </c>
      <c r="I425" s="8" t="s">
        <v>14</v>
      </c>
      <c r="J425" s="8" t="s">
        <v>11</v>
      </c>
      <c r="K425" s="9">
        <v>48</v>
      </c>
      <c r="L425" s="9">
        <v>75</v>
      </c>
      <c r="M425" s="9">
        <f t="shared" si="6"/>
        <v>3600</v>
      </c>
    </row>
    <row r="426" spans="6:13" x14ac:dyDescent="0.3">
      <c r="F426" s="7">
        <v>44302</v>
      </c>
      <c r="G426" s="8" t="s">
        <v>15</v>
      </c>
      <c r="H426" s="8" t="s">
        <v>13</v>
      </c>
      <c r="I426" s="8" t="s">
        <v>14</v>
      </c>
      <c r="J426" s="8" t="s">
        <v>11</v>
      </c>
      <c r="K426" s="9">
        <v>5</v>
      </c>
      <c r="L426" s="9">
        <v>315</v>
      </c>
      <c r="M426" s="9">
        <f t="shared" si="6"/>
        <v>1575</v>
      </c>
    </row>
    <row r="427" spans="6:13" x14ac:dyDescent="0.3">
      <c r="F427" s="7">
        <v>44302</v>
      </c>
      <c r="G427" s="8" t="s">
        <v>16</v>
      </c>
      <c r="H427" s="8" t="s">
        <v>9</v>
      </c>
      <c r="I427" s="8" t="s">
        <v>10</v>
      </c>
      <c r="J427" s="8" t="s">
        <v>11</v>
      </c>
      <c r="K427" s="9">
        <v>2</v>
      </c>
      <c r="L427" s="9">
        <v>1080</v>
      </c>
      <c r="M427" s="9">
        <f t="shared" si="6"/>
        <v>2160</v>
      </c>
    </row>
    <row r="428" spans="6:13" x14ac:dyDescent="0.3">
      <c r="F428" s="7">
        <v>44302</v>
      </c>
      <c r="G428" s="8" t="s">
        <v>17</v>
      </c>
      <c r="H428" s="8" t="s">
        <v>18</v>
      </c>
      <c r="I428" s="8" t="s">
        <v>10</v>
      </c>
      <c r="J428" s="8" t="s">
        <v>11</v>
      </c>
      <c r="K428" s="9">
        <v>3</v>
      </c>
      <c r="L428" s="9">
        <v>1575</v>
      </c>
      <c r="M428" s="9">
        <f t="shared" si="6"/>
        <v>4725</v>
      </c>
    </row>
    <row r="429" spans="6:13" x14ac:dyDescent="0.3">
      <c r="F429" s="7">
        <v>44302</v>
      </c>
      <c r="G429" s="8" t="s">
        <v>19</v>
      </c>
      <c r="H429" s="8" t="s">
        <v>18</v>
      </c>
      <c r="I429" s="8" t="s">
        <v>10</v>
      </c>
      <c r="J429" s="8" t="s">
        <v>11</v>
      </c>
      <c r="K429" s="9">
        <v>8</v>
      </c>
      <c r="L429" s="9">
        <v>790</v>
      </c>
      <c r="M429" s="9">
        <f t="shared" si="6"/>
        <v>6320</v>
      </c>
    </row>
    <row r="430" spans="6:13" x14ac:dyDescent="0.3">
      <c r="F430" s="7">
        <v>44302</v>
      </c>
      <c r="G430" s="8" t="s">
        <v>8</v>
      </c>
      <c r="H430" s="8" t="s">
        <v>9</v>
      </c>
      <c r="I430" s="8" t="s">
        <v>20</v>
      </c>
      <c r="J430" s="8" t="s">
        <v>21</v>
      </c>
      <c r="K430" s="9">
        <v>5</v>
      </c>
      <c r="L430" s="9">
        <v>2001</v>
      </c>
      <c r="M430" s="9">
        <f t="shared" si="6"/>
        <v>10005</v>
      </c>
    </row>
    <row r="431" spans="6:13" x14ac:dyDescent="0.3">
      <c r="F431" s="7">
        <v>44302</v>
      </c>
      <c r="G431" s="8" t="s">
        <v>12</v>
      </c>
      <c r="H431" s="8" t="s">
        <v>13</v>
      </c>
      <c r="I431" s="8" t="s">
        <v>22</v>
      </c>
      <c r="J431" s="8" t="s">
        <v>21</v>
      </c>
      <c r="K431" s="9">
        <v>33</v>
      </c>
      <c r="L431" s="9">
        <v>75</v>
      </c>
      <c r="M431" s="9">
        <f t="shared" si="6"/>
        <v>2475</v>
      </c>
    </row>
    <row r="432" spans="6:13" x14ac:dyDescent="0.3">
      <c r="F432" s="7">
        <v>44302</v>
      </c>
      <c r="G432" s="8" t="s">
        <v>15</v>
      </c>
      <c r="H432" s="8" t="s">
        <v>13</v>
      </c>
      <c r="I432" s="8" t="s">
        <v>22</v>
      </c>
      <c r="J432" s="8" t="s">
        <v>21</v>
      </c>
      <c r="K432" s="9">
        <v>12</v>
      </c>
      <c r="L432" s="9">
        <v>315</v>
      </c>
      <c r="M432" s="9">
        <f t="shared" si="6"/>
        <v>3780</v>
      </c>
    </row>
    <row r="433" spans="6:13" x14ac:dyDescent="0.3">
      <c r="F433" s="7">
        <v>44302</v>
      </c>
      <c r="G433" s="8" t="s">
        <v>16</v>
      </c>
      <c r="H433" s="8" t="s">
        <v>9</v>
      </c>
      <c r="I433" s="8" t="s">
        <v>20</v>
      </c>
      <c r="J433" s="8" t="s">
        <v>21</v>
      </c>
      <c r="K433" s="9">
        <v>2</v>
      </c>
      <c r="L433" s="9">
        <v>1080</v>
      </c>
      <c r="M433" s="9">
        <f t="shared" si="6"/>
        <v>2160</v>
      </c>
    </row>
    <row r="434" spans="6:13" x14ac:dyDescent="0.3">
      <c r="F434" s="7">
        <v>44302</v>
      </c>
      <c r="G434" s="8" t="s">
        <v>17</v>
      </c>
      <c r="H434" s="8" t="s">
        <v>18</v>
      </c>
      <c r="I434" s="8" t="s">
        <v>22</v>
      </c>
      <c r="J434" s="8" t="s">
        <v>21</v>
      </c>
      <c r="K434" s="9">
        <v>6</v>
      </c>
      <c r="L434" s="9">
        <v>1575</v>
      </c>
      <c r="M434" s="9">
        <f t="shared" si="6"/>
        <v>9450</v>
      </c>
    </row>
    <row r="435" spans="6:13" x14ac:dyDescent="0.3">
      <c r="F435" s="7">
        <v>44302</v>
      </c>
      <c r="G435" s="8" t="s">
        <v>19</v>
      </c>
      <c r="H435" s="8" t="s">
        <v>18</v>
      </c>
      <c r="I435" s="8" t="s">
        <v>22</v>
      </c>
      <c r="J435" s="8" t="s">
        <v>21</v>
      </c>
      <c r="K435" s="9">
        <v>6</v>
      </c>
      <c r="L435" s="9">
        <v>790</v>
      </c>
      <c r="M435" s="9">
        <f t="shared" si="6"/>
        <v>4740</v>
      </c>
    </row>
    <row r="436" spans="6:13" x14ac:dyDescent="0.3">
      <c r="F436" s="7">
        <v>44302</v>
      </c>
      <c r="G436" s="8" t="s">
        <v>8</v>
      </c>
      <c r="H436" s="8" t="s">
        <v>9</v>
      </c>
      <c r="I436" s="8" t="s">
        <v>23</v>
      </c>
      <c r="J436" s="8" t="s">
        <v>24</v>
      </c>
      <c r="K436" s="9">
        <v>3</v>
      </c>
      <c r="L436" s="9">
        <v>2001</v>
      </c>
      <c r="M436" s="9">
        <f t="shared" si="6"/>
        <v>6003</v>
      </c>
    </row>
    <row r="437" spans="6:13" x14ac:dyDescent="0.3">
      <c r="F437" s="7">
        <v>44302</v>
      </c>
      <c r="G437" s="8" t="s">
        <v>12</v>
      </c>
      <c r="H437" s="8" t="s">
        <v>13</v>
      </c>
      <c r="I437" s="8" t="s">
        <v>23</v>
      </c>
      <c r="J437" s="8" t="s">
        <v>24</v>
      </c>
      <c r="K437" s="9">
        <v>60</v>
      </c>
      <c r="L437" s="9">
        <v>75</v>
      </c>
      <c r="M437" s="9">
        <f t="shared" si="6"/>
        <v>4500</v>
      </c>
    </row>
    <row r="438" spans="6:13" x14ac:dyDescent="0.3">
      <c r="F438" s="7">
        <v>44302</v>
      </c>
      <c r="G438" s="8" t="s">
        <v>15</v>
      </c>
      <c r="H438" s="8" t="s">
        <v>13</v>
      </c>
      <c r="I438" s="8" t="s">
        <v>23</v>
      </c>
      <c r="J438" s="8" t="s">
        <v>24</v>
      </c>
      <c r="K438" s="9">
        <v>9</v>
      </c>
      <c r="L438" s="9">
        <v>315</v>
      </c>
      <c r="M438" s="9">
        <f t="shared" si="6"/>
        <v>2835</v>
      </c>
    </row>
    <row r="439" spans="6:13" x14ac:dyDescent="0.3">
      <c r="F439" s="7">
        <v>44302</v>
      </c>
      <c r="G439" s="8" t="s">
        <v>16</v>
      </c>
      <c r="H439" s="8" t="s">
        <v>9</v>
      </c>
      <c r="I439" s="8" t="s">
        <v>23</v>
      </c>
      <c r="J439" s="8" t="s">
        <v>24</v>
      </c>
      <c r="K439" s="9">
        <v>6</v>
      </c>
      <c r="L439" s="9">
        <v>1080</v>
      </c>
      <c r="M439" s="9">
        <f t="shared" si="6"/>
        <v>6480</v>
      </c>
    </row>
    <row r="440" spans="6:13" x14ac:dyDescent="0.3">
      <c r="F440" s="7">
        <v>44302</v>
      </c>
      <c r="G440" s="8" t="s">
        <v>17</v>
      </c>
      <c r="H440" s="8" t="s">
        <v>18</v>
      </c>
      <c r="I440" s="8" t="s">
        <v>25</v>
      </c>
      <c r="J440" s="8" t="s">
        <v>24</v>
      </c>
      <c r="K440" s="9">
        <v>3</v>
      </c>
      <c r="L440" s="9">
        <v>1575</v>
      </c>
      <c r="M440" s="9">
        <f t="shared" si="6"/>
        <v>4725</v>
      </c>
    </row>
    <row r="441" spans="6:13" x14ac:dyDescent="0.3">
      <c r="F441" s="7">
        <v>44302</v>
      </c>
      <c r="G441" s="8" t="s">
        <v>19</v>
      </c>
      <c r="H441" s="8" t="s">
        <v>18</v>
      </c>
      <c r="I441" s="8" t="s">
        <v>25</v>
      </c>
      <c r="J441" s="8" t="s">
        <v>24</v>
      </c>
      <c r="K441" s="9">
        <v>8</v>
      </c>
      <c r="L441" s="9">
        <v>790</v>
      </c>
      <c r="M441" s="9">
        <f t="shared" si="6"/>
        <v>6320</v>
      </c>
    </row>
    <row r="442" spans="6:13" x14ac:dyDescent="0.3">
      <c r="F442" s="7">
        <v>44302</v>
      </c>
      <c r="G442" s="8" t="s">
        <v>8</v>
      </c>
      <c r="H442" s="8" t="s">
        <v>9</v>
      </c>
      <c r="I442" s="8" t="s">
        <v>26</v>
      </c>
      <c r="J442" s="8" t="s">
        <v>27</v>
      </c>
      <c r="K442" s="9">
        <v>3</v>
      </c>
      <c r="L442" s="9">
        <v>2001</v>
      </c>
      <c r="M442" s="9">
        <f t="shared" si="6"/>
        <v>6003</v>
      </c>
    </row>
    <row r="443" spans="6:13" x14ac:dyDescent="0.3">
      <c r="F443" s="7">
        <v>44302</v>
      </c>
      <c r="G443" s="8" t="s">
        <v>12</v>
      </c>
      <c r="H443" s="8" t="s">
        <v>13</v>
      </c>
      <c r="I443" s="8" t="s">
        <v>26</v>
      </c>
      <c r="J443" s="8" t="s">
        <v>27</v>
      </c>
      <c r="K443" s="9">
        <v>49</v>
      </c>
      <c r="L443" s="9">
        <v>75</v>
      </c>
      <c r="M443" s="9">
        <f t="shared" si="6"/>
        <v>3675</v>
      </c>
    </row>
    <row r="444" spans="6:13" x14ac:dyDescent="0.3">
      <c r="F444" s="7">
        <v>44302</v>
      </c>
      <c r="G444" s="8" t="s">
        <v>15</v>
      </c>
      <c r="H444" s="8" t="s">
        <v>13</v>
      </c>
      <c r="I444" s="8" t="s">
        <v>26</v>
      </c>
      <c r="J444" s="8" t="s">
        <v>27</v>
      </c>
      <c r="K444" s="9">
        <v>14</v>
      </c>
      <c r="L444" s="9">
        <v>315</v>
      </c>
      <c r="M444" s="9">
        <f t="shared" si="6"/>
        <v>4410</v>
      </c>
    </row>
    <row r="445" spans="6:13" x14ac:dyDescent="0.3">
      <c r="F445" s="7">
        <v>44302</v>
      </c>
      <c r="G445" s="8" t="s">
        <v>16</v>
      </c>
      <c r="H445" s="8" t="s">
        <v>9</v>
      </c>
      <c r="I445" s="8" t="s">
        <v>26</v>
      </c>
      <c r="J445" s="8" t="s">
        <v>27</v>
      </c>
      <c r="K445" s="9">
        <v>2</v>
      </c>
      <c r="L445" s="9">
        <v>1080</v>
      </c>
      <c r="M445" s="9">
        <f t="shared" si="6"/>
        <v>2160</v>
      </c>
    </row>
    <row r="446" spans="6:13" x14ac:dyDescent="0.3">
      <c r="F446" s="7">
        <v>44302</v>
      </c>
      <c r="G446" s="8" t="s">
        <v>17</v>
      </c>
      <c r="H446" s="8" t="s">
        <v>18</v>
      </c>
      <c r="I446" s="8" t="s">
        <v>28</v>
      </c>
      <c r="J446" s="8" t="s">
        <v>27</v>
      </c>
      <c r="K446" s="9">
        <v>3</v>
      </c>
      <c r="L446" s="9">
        <v>1575</v>
      </c>
      <c r="M446" s="9">
        <f t="shared" si="6"/>
        <v>4725</v>
      </c>
    </row>
    <row r="447" spans="6:13" x14ac:dyDescent="0.3">
      <c r="F447" s="7">
        <v>44302</v>
      </c>
      <c r="G447" s="8" t="s">
        <v>19</v>
      </c>
      <c r="H447" s="8" t="s">
        <v>18</v>
      </c>
      <c r="I447" s="8" t="s">
        <v>28</v>
      </c>
      <c r="J447" s="8" t="s">
        <v>27</v>
      </c>
      <c r="K447" s="9">
        <v>10</v>
      </c>
      <c r="L447" s="9">
        <v>790</v>
      </c>
      <c r="M447" s="9">
        <f t="shared" si="6"/>
        <v>7900</v>
      </c>
    </row>
    <row r="448" spans="6:13" x14ac:dyDescent="0.3">
      <c r="F448" s="7">
        <v>44302</v>
      </c>
      <c r="G448" s="8" t="s">
        <v>8</v>
      </c>
      <c r="H448" s="8" t="s">
        <v>9</v>
      </c>
      <c r="I448" s="8" t="s">
        <v>29</v>
      </c>
      <c r="J448" s="8" t="s">
        <v>30</v>
      </c>
      <c r="K448" s="9">
        <v>6</v>
      </c>
      <c r="L448" s="9">
        <v>2001</v>
      </c>
      <c r="M448" s="9">
        <f t="shared" si="6"/>
        <v>12006</v>
      </c>
    </row>
    <row r="449" spans="6:13" x14ac:dyDescent="0.3">
      <c r="F449" s="7">
        <v>44302</v>
      </c>
      <c r="G449" s="8" t="s">
        <v>12</v>
      </c>
      <c r="H449" s="8" t="s">
        <v>13</v>
      </c>
      <c r="I449" s="8" t="s">
        <v>31</v>
      </c>
      <c r="J449" s="8" t="s">
        <v>30</v>
      </c>
      <c r="K449" s="9">
        <v>57</v>
      </c>
      <c r="L449" s="9">
        <v>75</v>
      </c>
      <c r="M449" s="9">
        <f t="shared" si="6"/>
        <v>4275</v>
      </c>
    </row>
    <row r="450" spans="6:13" x14ac:dyDescent="0.3">
      <c r="F450" s="7">
        <v>44302</v>
      </c>
      <c r="G450" s="8" t="s">
        <v>15</v>
      </c>
      <c r="H450" s="8" t="s">
        <v>13</v>
      </c>
      <c r="I450" s="8" t="s">
        <v>31</v>
      </c>
      <c r="J450" s="8" t="s">
        <v>30</v>
      </c>
      <c r="K450" s="9">
        <v>12</v>
      </c>
      <c r="L450" s="9">
        <v>315</v>
      </c>
      <c r="M450" s="9">
        <f t="shared" si="6"/>
        <v>3780</v>
      </c>
    </row>
    <row r="451" spans="6:13" x14ac:dyDescent="0.3">
      <c r="F451" s="7">
        <v>44302</v>
      </c>
      <c r="G451" s="8" t="s">
        <v>16</v>
      </c>
      <c r="H451" s="8" t="s">
        <v>9</v>
      </c>
      <c r="I451" s="8" t="s">
        <v>29</v>
      </c>
      <c r="J451" s="8" t="s">
        <v>30</v>
      </c>
      <c r="K451" s="9">
        <v>5</v>
      </c>
      <c r="L451" s="9">
        <v>1080</v>
      </c>
      <c r="M451" s="9">
        <f t="shared" si="6"/>
        <v>5400</v>
      </c>
    </row>
    <row r="452" spans="6:13" x14ac:dyDescent="0.3">
      <c r="F452" s="7">
        <v>44302</v>
      </c>
      <c r="G452" s="8" t="s">
        <v>17</v>
      </c>
      <c r="H452" s="8" t="s">
        <v>18</v>
      </c>
      <c r="I452" s="8" t="s">
        <v>31</v>
      </c>
      <c r="J452" s="8" t="s">
        <v>30</v>
      </c>
      <c r="K452" s="9">
        <v>5</v>
      </c>
      <c r="L452" s="9">
        <v>1575</v>
      </c>
      <c r="M452" s="9">
        <f t="shared" ref="M452:M515" si="7">K452*L452</f>
        <v>7875</v>
      </c>
    </row>
    <row r="453" spans="6:13" x14ac:dyDescent="0.3">
      <c r="F453" s="7">
        <v>44302</v>
      </c>
      <c r="G453" s="8" t="s">
        <v>19</v>
      </c>
      <c r="H453" s="8" t="s">
        <v>18</v>
      </c>
      <c r="I453" s="8" t="s">
        <v>31</v>
      </c>
      <c r="J453" s="8" t="s">
        <v>30</v>
      </c>
      <c r="K453" s="9">
        <v>11</v>
      </c>
      <c r="L453" s="9">
        <v>790</v>
      </c>
      <c r="M453" s="9">
        <f t="shared" si="7"/>
        <v>8690</v>
      </c>
    </row>
    <row r="454" spans="6:13" x14ac:dyDescent="0.3">
      <c r="F454" s="7">
        <v>44309</v>
      </c>
      <c r="G454" s="8" t="s">
        <v>8</v>
      </c>
      <c r="H454" s="8" t="s">
        <v>9</v>
      </c>
      <c r="I454" s="8" t="s">
        <v>10</v>
      </c>
      <c r="J454" s="8" t="s">
        <v>11</v>
      </c>
      <c r="K454" s="9">
        <v>4</v>
      </c>
      <c r="L454" s="9">
        <v>2001</v>
      </c>
      <c r="M454" s="9">
        <f t="shared" si="7"/>
        <v>8004</v>
      </c>
    </row>
    <row r="455" spans="6:13" x14ac:dyDescent="0.3">
      <c r="F455" s="7">
        <v>44309</v>
      </c>
      <c r="G455" s="8" t="s">
        <v>12</v>
      </c>
      <c r="H455" s="8" t="s">
        <v>13</v>
      </c>
      <c r="I455" s="8" t="s">
        <v>14</v>
      </c>
      <c r="J455" s="8" t="s">
        <v>11</v>
      </c>
      <c r="K455" s="9">
        <v>46</v>
      </c>
      <c r="L455" s="9">
        <v>75</v>
      </c>
      <c r="M455" s="9">
        <f t="shared" si="7"/>
        <v>3450</v>
      </c>
    </row>
    <row r="456" spans="6:13" x14ac:dyDescent="0.3">
      <c r="F456" s="7">
        <v>44309</v>
      </c>
      <c r="G456" s="8" t="s">
        <v>15</v>
      </c>
      <c r="H456" s="8" t="s">
        <v>13</v>
      </c>
      <c r="I456" s="8" t="s">
        <v>14</v>
      </c>
      <c r="J456" s="8" t="s">
        <v>11</v>
      </c>
      <c r="K456" s="9">
        <v>12</v>
      </c>
      <c r="L456" s="9">
        <v>315</v>
      </c>
      <c r="M456" s="9">
        <f t="shared" si="7"/>
        <v>3780</v>
      </c>
    </row>
    <row r="457" spans="6:13" x14ac:dyDescent="0.3">
      <c r="F457" s="7">
        <v>44309</v>
      </c>
      <c r="G457" s="8" t="s">
        <v>16</v>
      </c>
      <c r="H457" s="8" t="s">
        <v>9</v>
      </c>
      <c r="I457" s="8" t="s">
        <v>10</v>
      </c>
      <c r="J457" s="8" t="s">
        <v>11</v>
      </c>
      <c r="K457" s="9">
        <v>2</v>
      </c>
      <c r="L457" s="9">
        <v>1080</v>
      </c>
      <c r="M457" s="9">
        <f t="shared" si="7"/>
        <v>2160</v>
      </c>
    </row>
    <row r="458" spans="6:13" x14ac:dyDescent="0.3">
      <c r="F458" s="7">
        <v>44309</v>
      </c>
      <c r="G458" s="8" t="s">
        <v>17</v>
      </c>
      <c r="H458" s="8" t="s">
        <v>18</v>
      </c>
      <c r="I458" s="8" t="s">
        <v>10</v>
      </c>
      <c r="J458" s="8" t="s">
        <v>11</v>
      </c>
      <c r="K458" s="9">
        <v>3</v>
      </c>
      <c r="L458" s="9">
        <v>1575</v>
      </c>
      <c r="M458" s="9">
        <f t="shared" si="7"/>
        <v>4725</v>
      </c>
    </row>
    <row r="459" spans="6:13" x14ac:dyDescent="0.3">
      <c r="F459" s="7">
        <v>44309</v>
      </c>
      <c r="G459" s="8" t="s">
        <v>19</v>
      </c>
      <c r="H459" s="8" t="s">
        <v>18</v>
      </c>
      <c r="I459" s="8" t="s">
        <v>10</v>
      </c>
      <c r="J459" s="8" t="s">
        <v>11</v>
      </c>
      <c r="K459" s="9">
        <v>7</v>
      </c>
      <c r="L459" s="9">
        <v>790</v>
      </c>
      <c r="M459" s="9">
        <f t="shared" si="7"/>
        <v>5530</v>
      </c>
    </row>
    <row r="460" spans="6:13" x14ac:dyDescent="0.3">
      <c r="F460" s="7">
        <v>44309</v>
      </c>
      <c r="G460" s="8" t="s">
        <v>8</v>
      </c>
      <c r="H460" s="8" t="s">
        <v>9</v>
      </c>
      <c r="I460" s="8" t="s">
        <v>20</v>
      </c>
      <c r="J460" s="8" t="s">
        <v>21</v>
      </c>
      <c r="K460" s="9">
        <v>3</v>
      </c>
      <c r="L460" s="9">
        <v>2001</v>
      </c>
      <c r="M460" s="9">
        <f t="shared" si="7"/>
        <v>6003</v>
      </c>
    </row>
    <row r="461" spans="6:13" x14ac:dyDescent="0.3">
      <c r="F461" s="7">
        <v>44309</v>
      </c>
      <c r="G461" s="8" t="s">
        <v>12</v>
      </c>
      <c r="H461" s="8" t="s">
        <v>13</v>
      </c>
      <c r="I461" s="8" t="s">
        <v>22</v>
      </c>
      <c r="J461" s="8" t="s">
        <v>21</v>
      </c>
      <c r="K461" s="9">
        <v>47</v>
      </c>
      <c r="L461" s="9">
        <v>75</v>
      </c>
      <c r="M461" s="9">
        <f t="shared" si="7"/>
        <v>3525</v>
      </c>
    </row>
    <row r="462" spans="6:13" x14ac:dyDescent="0.3">
      <c r="F462" s="7">
        <v>44309</v>
      </c>
      <c r="G462" s="8" t="s">
        <v>15</v>
      </c>
      <c r="H462" s="8" t="s">
        <v>13</v>
      </c>
      <c r="I462" s="8" t="s">
        <v>22</v>
      </c>
      <c r="J462" s="8" t="s">
        <v>21</v>
      </c>
      <c r="K462" s="9">
        <v>8</v>
      </c>
      <c r="L462" s="9">
        <v>315</v>
      </c>
      <c r="M462" s="9">
        <f t="shared" si="7"/>
        <v>2520</v>
      </c>
    </row>
    <row r="463" spans="6:13" x14ac:dyDescent="0.3">
      <c r="F463" s="7">
        <v>44309</v>
      </c>
      <c r="G463" s="8" t="s">
        <v>16</v>
      </c>
      <c r="H463" s="8" t="s">
        <v>9</v>
      </c>
      <c r="I463" s="8" t="s">
        <v>20</v>
      </c>
      <c r="J463" s="8" t="s">
        <v>21</v>
      </c>
      <c r="K463" s="9">
        <v>3</v>
      </c>
      <c r="L463" s="9">
        <v>1080</v>
      </c>
      <c r="M463" s="9">
        <f t="shared" si="7"/>
        <v>3240</v>
      </c>
    </row>
    <row r="464" spans="6:13" x14ac:dyDescent="0.3">
      <c r="F464" s="7">
        <v>44309</v>
      </c>
      <c r="G464" s="8" t="s">
        <v>17</v>
      </c>
      <c r="H464" s="8" t="s">
        <v>18</v>
      </c>
      <c r="I464" s="8" t="s">
        <v>22</v>
      </c>
      <c r="J464" s="8" t="s">
        <v>21</v>
      </c>
      <c r="K464" s="9">
        <v>5</v>
      </c>
      <c r="L464" s="9">
        <v>1575</v>
      </c>
      <c r="M464" s="9">
        <f t="shared" si="7"/>
        <v>7875</v>
      </c>
    </row>
    <row r="465" spans="6:13" x14ac:dyDescent="0.3">
      <c r="F465" s="7">
        <v>44309</v>
      </c>
      <c r="G465" s="8" t="s">
        <v>19</v>
      </c>
      <c r="H465" s="8" t="s">
        <v>18</v>
      </c>
      <c r="I465" s="8" t="s">
        <v>22</v>
      </c>
      <c r="J465" s="8" t="s">
        <v>21</v>
      </c>
      <c r="K465" s="9">
        <v>9</v>
      </c>
      <c r="L465" s="9">
        <v>790</v>
      </c>
      <c r="M465" s="9">
        <f t="shared" si="7"/>
        <v>7110</v>
      </c>
    </row>
    <row r="466" spans="6:13" x14ac:dyDescent="0.3">
      <c r="F466" s="7">
        <v>44309</v>
      </c>
      <c r="G466" s="8" t="s">
        <v>8</v>
      </c>
      <c r="H466" s="8" t="s">
        <v>9</v>
      </c>
      <c r="I466" s="8" t="s">
        <v>23</v>
      </c>
      <c r="J466" s="8" t="s">
        <v>24</v>
      </c>
      <c r="K466" s="9">
        <v>6</v>
      </c>
      <c r="L466" s="9">
        <v>2001</v>
      </c>
      <c r="M466" s="9">
        <f t="shared" si="7"/>
        <v>12006</v>
      </c>
    </row>
    <row r="467" spans="6:13" x14ac:dyDescent="0.3">
      <c r="F467" s="7">
        <v>44309</v>
      </c>
      <c r="G467" s="8" t="s">
        <v>12</v>
      </c>
      <c r="H467" s="8" t="s">
        <v>13</v>
      </c>
      <c r="I467" s="8" t="s">
        <v>23</v>
      </c>
      <c r="J467" s="8" t="s">
        <v>24</v>
      </c>
      <c r="K467" s="9">
        <v>38</v>
      </c>
      <c r="L467" s="9">
        <v>75</v>
      </c>
      <c r="M467" s="9">
        <f t="shared" si="7"/>
        <v>2850</v>
      </c>
    </row>
    <row r="468" spans="6:13" x14ac:dyDescent="0.3">
      <c r="F468" s="7">
        <v>44309</v>
      </c>
      <c r="G468" s="8" t="s">
        <v>15</v>
      </c>
      <c r="H468" s="8" t="s">
        <v>13</v>
      </c>
      <c r="I468" s="8" t="s">
        <v>23</v>
      </c>
      <c r="J468" s="8" t="s">
        <v>24</v>
      </c>
      <c r="K468" s="9">
        <v>10</v>
      </c>
      <c r="L468" s="9">
        <v>315</v>
      </c>
      <c r="M468" s="9">
        <f t="shared" si="7"/>
        <v>3150</v>
      </c>
    </row>
    <row r="469" spans="6:13" x14ac:dyDescent="0.3">
      <c r="F469" s="7">
        <v>44309</v>
      </c>
      <c r="G469" s="8" t="s">
        <v>16</v>
      </c>
      <c r="H469" s="8" t="s">
        <v>9</v>
      </c>
      <c r="I469" s="8" t="s">
        <v>23</v>
      </c>
      <c r="J469" s="8" t="s">
        <v>24</v>
      </c>
      <c r="K469" s="9">
        <v>4</v>
      </c>
      <c r="L469" s="9">
        <v>1080</v>
      </c>
      <c r="M469" s="9">
        <f t="shared" si="7"/>
        <v>4320</v>
      </c>
    </row>
    <row r="470" spans="6:13" x14ac:dyDescent="0.3">
      <c r="F470" s="7">
        <v>44309</v>
      </c>
      <c r="G470" s="8" t="s">
        <v>17</v>
      </c>
      <c r="H470" s="8" t="s">
        <v>18</v>
      </c>
      <c r="I470" s="8" t="s">
        <v>25</v>
      </c>
      <c r="J470" s="8" t="s">
        <v>24</v>
      </c>
      <c r="K470" s="9">
        <v>6</v>
      </c>
      <c r="L470" s="9">
        <v>1575</v>
      </c>
      <c r="M470" s="9">
        <f t="shared" si="7"/>
        <v>9450</v>
      </c>
    </row>
    <row r="471" spans="6:13" x14ac:dyDescent="0.3">
      <c r="F471" s="7">
        <v>44309</v>
      </c>
      <c r="G471" s="8" t="s">
        <v>19</v>
      </c>
      <c r="H471" s="8" t="s">
        <v>18</v>
      </c>
      <c r="I471" s="8" t="s">
        <v>25</v>
      </c>
      <c r="J471" s="8" t="s">
        <v>24</v>
      </c>
      <c r="K471" s="9">
        <v>7</v>
      </c>
      <c r="L471" s="9">
        <v>790</v>
      </c>
      <c r="M471" s="9">
        <f t="shared" si="7"/>
        <v>5530</v>
      </c>
    </row>
    <row r="472" spans="6:13" x14ac:dyDescent="0.3">
      <c r="F472" s="7">
        <v>44309</v>
      </c>
      <c r="G472" s="8" t="s">
        <v>8</v>
      </c>
      <c r="H472" s="8" t="s">
        <v>9</v>
      </c>
      <c r="I472" s="8" t="s">
        <v>26</v>
      </c>
      <c r="J472" s="8" t="s">
        <v>27</v>
      </c>
      <c r="K472" s="9">
        <v>5</v>
      </c>
      <c r="L472" s="9">
        <v>2001</v>
      </c>
      <c r="M472" s="9">
        <f t="shared" si="7"/>
        <v>10005</v>
      </c>
    </row>
    <row r="473" spans="6:13" x14ac:dyDescent="0.3">
      <c r="F473" s="7">
        <v>44309</v>
      </c>
      <c r="G473" s="8" t="s">
        <v>12</v>
      </c>
      <c r="H473" s="8" t="s">
        <v>13</v>
      </c>
      <c r="I473" s="8" t="s">
        <v>26</v>
      </c>
      <c r="J473" s="8" t="s">
        <v>27</v>
      </c>
      <c r="K473" s="9">
        <v>54</v>
      </c>
      <c r="L473" s="9">
        <v>75</v>
      </c>
      <c r="M473" s="9">
        <f t="shared" si="7"/>
        <v>4050</v>
      </c>
    </row>
    <row r="474" spans="6:13" x14ac:dyDescent="0.3">
      <c r="F474" s="7">
        <v>44309</v>
      </c>
      <c r="G474" s="8" t="s">
        <v>15</v>
      </c>
      <c r="H474" s="8" t="s">
        <v>13</v>
      </c>
      <c r="I474" s="8" t="s">
        <v>26</v>
      </c>
      <c r="J474" s="8" t="s">
        <v>27</v>
      </c>
      <c r="K474" s="9">
        <v>8</v>
      </c>
      <c r="L474" s="9">
        <v>315</v>
      </c>
      <c r="M474" s="9">
        <f t="shared" si="7"/>
        <v>2520</v>
      </c>
    </row>
    <row r="475" spans="6:13" x14ac:dyDescent="0.3">
      <c r="F475" s="7">
        <v>44309</v>
      </c>
      <c r="G475" s="8" t="s">
        <v>16</v>
      </c>
      <c r="H475" s="8" t="s">
        <v>9</v>
      </c>
      <c r="I475" s="8" t="s">
        <v>26</v>
      </c>
      <c r="J475" s="8" t="s">
        <v>27</v>
      </c>
      <c r="K475" s="9">
        <v>3</v>
      </c>
      <c r="L475" s="9">
        <v>1080</v>
      </c>
      <c r="M475" s="9">
        <f t="shared" si="7"/>
        <v>3240</v>
      </c>
    </row>
    <row r="476" spans="6:13" x14ac:dyDescent="0.3">
      <c r="F476" s="7">
        <v>44309</v>
      </c>
      <c r="G476" s="8" t="s">
        <v>17</v>
      </c>
      <c r="H476" s="8" t="s">
        <v>18</v>
      </c>
      <c r="I476" s="8" t="s">
        <v>28</v>
      </c>
      <c r="J476" s="8" t="s">
        <v>27</v>
      </c>
      <c r="K476" s="9">
        <v>2</v>
      </c>
      <c r="L476" s="9">
        <v>1575</v>
      </c>
      <c r="M476" s="9">
        <f t="shared" si="7"/>
        <v>3150</v>
      </c>
    </row>
    <row r="477" spans="6:13" x14ac:dyDescent="0.3">
      <c r="F477" s="7">
        <v>44309</v>
      </c>
      <c r="G477" s="8" t="s">
        <v>19</v>
      </c>
      <c r="H477" s="8" t="s">
        <v>18</v>
      </c>
      <c r="I477" s="8" t="s">
        <v>28</v>
      </c>
      <c r="J477" s="8" t="s">
        <v>27</v>
      </c>
      <c r="K477" s="9">
        <v>6</v>
      </c>
      <c r="L477" s="9">
        <v>790</v>
      </c>
      <c r="M477" s="9">
        <f t="shared" si="7"/>
        <v>4740</v>
      </c>
    </row>
    <row r="478" spans="6:13" x14ac:dyDescent="0.3">
      <c r="F478" s="7">
        <v>44309</v>
      </c>
      <c r="G478" s="8" t="s">
        <v>8</v>
      </c>
      <c r="H478" s="8" t="s">
        <v>9</v>
      </c>
      <c r="I478" s="8" t="s">
        <v>29</v>
      </c>
      <c r="J478" s="8" t="s">
        <v>30</v>
      </c>
      <c r="K478" s="9">
        <v>5</v>
      </c>
      <c r="L478" s="9">
        <v>2001</v>
      </c>
      <c r="M478" s="9">
        <f t="shared" si="7"/>
        <v>10005</v>
      </c>
    </row>
    <row r="479" spans="6:13" x14ac:dyDescent="0.3">
      <c r="F479" s="7">
        <v>44309</v>
      </c>
      <c r="G479" s="8" t="s">
        <v>12</v>
      </c>
      <c r="H479" s="8" t="s">
        <v>13</v>
      </c>
      <c r="I479" s="8" t="s">
        <v>31</v>
      </c>
      <c r="J479" s="8" t="s">
        <v>30</v>
      </c>
      <c r="K479" s="9">
        <v>50</v>
      </c>
      <c r="L479" s="9">
        <v>75</v>
      </c>
      <c r="M479" s="9">
        <f t="shared" si="7"/>
        <v>3750</v>
      </c>
    </row>
    <row r="480" spans="6:13" x14ac:dyDescent="0.3">
      <c r="F480" s="7">
        <v>44309</v>
      </c>
      <c r="G480" s="8" t="s">
        <v>15</v>
      </c>
      <c r="H480" s="8" t="s">
        <v>13</v>
      </c>
      <c r="I480" s="8" t="s">
        <v>31</v>
      </c>
      <c r="J480" s="8" t="s">
        <v>30</v>
      </c>
      <c r="K480" s="9">
        <v>11</v>
      </c>
      <c r="L480" s="9">
        <v>315</v>
      </c>
      <c r="M480" s="9">
        <f t="shared" si="7"/>
        <v>3465</v>
      </c>
    </row>
    <row r="481" spans="6:13" x14ac:dyDescent="0.3">
      <c r="F481" s="7">
        <v>44309</v>
      </c>
      <c r="G481" s="8" t="s">
        <v>16</v>
      </c>
      <c r="H481" s="8" t="s">
        <v>9</v>
      </c>
      <c r="I481" s="8" t="s">
        <v>29</v>
      </c>
      <c r="J481" s="8" t="s">
        <v>30</v>
      </c>
      <c r="K481" s="9">
        <v>3</v>
      </c>
      <c r="L481" s="9">
        <v>1080</v>
      </c>
      <c r="M481" s="9">
        <f t="shared" si="7"/>
        <v>3240</v>
      </c>
    </row>
    <row r="482" spans="6:13" x14ac:dyDescent="0.3">
      <c r="F482" s="7">
        <v>44309</v>
      </c>
      <c r="G482" s="8" t="s">
        <v>17</v>
      </c>
      <c r="H482" s="8" t="s">
        <v>18</v>
      </c>
      <c r="I482" s="8" t="s">
        <v>31</v>
      </c>
      <c r="J482" s="8" t="s">
        <v>30</v>
      </c>
      <c r="K482" s="9">
        <v>5</v>
      </c>
      <c r="L482" s="9">
        <v>1575</v>
      </c>
      <c r="M482" s="9">
        <f t="shared" si="7"/>
        <v>7875</v>
      </c>
    </row>
    <row r="483" spans="6:13" x14ac:dyDescent="0.3">
      <c r="F483" s="7">
        <v>44309</v>
      </c>
      <c r="G483" s="8" t="s">
        <v>19</v>
      </c>
      <c r="H483" s="8" t="s">
        <v>18</v>
      </c>
      <c r="I483" s="8" t="s">
        <v>31</v>
      </c>
      <c r="J483" s="8" t="s">
        <v>30</v>
      </c>
      <c r="K483" s="9">
        <v>7</v>
      </c>
      <c r="L483" s="9">
        <v>790</v>
      </c>
      <c r="M483" s="9">
        <f t="shared" si="7"/>
        <v>5530</v>
      </c>
    </row>
    <row r="484" spans="6:13" x14ac:dyDescent="0.3">
      <c r="F484" s="7">
        <v>44316</v>
      </c>
      <c r="G484" s="8" t="s">
        <v>8</v>
      </c>
      <c r="H484" s="8" t="s">
        <v>9</v>
      </c>
      <c r="I484" s="8" t="s">
        <v>10</v>
      </c>
      <c r="J484" s="8" t="s">
        <v>11</v>
      </c>
      <c r="K484" s="9">
        <v>5</v>
      </c>
      <c r="L484" s="9">
        <v>2001</v>
      </c>
      <c r="M484" s="9">
        <f t="shared" si="7"/>
        <v>10005</v>
      </c>
    </row>
    <row r="485" spans="6:13" x14ac:dyDescent="0.3">
      <c r="F485" s="7">
        <v>44316</v>
      </c>
      <c r="G485" s="8" t="s">
        <v>12</v>
      </c>
      <c r="H485" s="8" t="s">
        <v>13</v>
      </c>
      <c r="I485" s="8" t="s">
        <v>14</v>
      </c>
      <c r="J485" s="8" t="s">
        <v>11</v>
      </c>
      <c r="K485" s="9">
        <v>52</v>
      </c>
      <c r="L485" s="9">
        <v>75</v>
      </c>
      <c r="M485" s="9">
        <f t="shared" si="7"/>
        <v>3900</v>
      </c>
    </row>
    <row r="486" spans="6:13" x14ac:dyDescent="0.3">
      <c r="F486" s="7">
        <v>44316</v>
      </c>
      <c r="G486" s="8" t="s">
        <v>15</v>
      </c>
      <c r="H486" s="8" t="s">
        <v>13</v>
      </c>
      <c r="I486" s="8" t="s">
        <v>14</v>
      </c>
      <c r="J486" s="8" t="s">
        <v>11</v>
      </c>
      <c r="K486" s="9">
        <v>11</v>
      </c>
      <c r="L486" s="9">
        <v>315</v>
      </c>
      <c r="M486" s="9">
        <f t="shared" si="7"/>
        <v>3465</v>
      </c>
    </row>
    <row r="487" spans="6:13" x14ac:dyDescent="0.3">
      <c r="F487" s="7">
        <v>44316</v>
      </c>
      <c r="G487" s="8" t="s">
        <v>16</v>
      </c>
      <c r="H487" s="8" t="s">
        <v>9</v>
      </c>
      <c r="I487" s="8" t="s">
        <v>10</v>
      </c>
      <c r="J487" s="8" t="s">
        <v>11</v>
      </c>
      <c r="K487" s="9">
        <v>6</v>
      </c>
      <c r="L487" s="9">
        <v>1080</v>
      </c>
      <c r="M487" s="9">
        <f t="shared" si="7"/>
        <v>6480</v>
      </c>
    </row>
    <row r="488" spans="6:13" x14ac:dyDescent="0.3">
      <c r="F488" s="7">
        <v>44316</v>
      </c>
      <c r="G488" s="8" t="s">
        <v>17</v>
      </c>
      <c r="H488" s="8" t="s">
        <v>18</v>
      </c>
      <c r="I488" s="8" t="s">
        <v>10</v>
      </c>
      <c r="J488" s="8" t="s">
        <v>11</v>
      </c>
      <c r="K488" s="9">
        <v>3</v>
      </c>
      <c r="L488" s="9">
        <v>1575</v>
      </c>
      <c r="M488" s="9">
        <f t="shared" si="7"/>
        <v>4725</v>
      </c>
    </row>
    <row r="489" spans="6:13" x14ac:dyDescent="0.3">
      <c r="F489" s="7">
        <v>44316</v>
      </c>
      <c r="G489" s="8" t="s">
        <v>19</v>
      </c>
      <c r="H489" s="8" t="s">
        <v>18</v>
      </c>
      <c r="I489" s="8" t="s">
        <v>10</v>
      </c>
      <c r="J489" s="8" t="s">
        <v>11</v>
      </c>
      <c r="K489" s="9">
        <v>11</v>
      </c>
      <c r="L489" s="9">
        <v>790</v>
      </c>
      <c r="M489" s="9">
        <f t="shared" si="7"/>
        <v>8690</v>
      </c>
    </row>
    <row r="490" spans="6:13" x14ac:dyDescent="0.3">
      <c r="F490" s="7">
        <v>44316</v>
      </c>
      <c r="G490" s="8" t="s">
        <v>8</v>
      </c>
      <c r="H490" s="8" t="s">
        <v>9</v>
      </c>
      <c r="I490" s="8" t="s">
        <v>20</v>
      </c>
      <c r="J490" s="8" t="s">
        <v>21</v>
      </c>
      <c r="K490" s="9">
        <v>4</v>
      </c>
      <c r="L490" s="9">
        <v>2001</v>
      </c>
      <c r="M490" s="9">
        <f t="shared" si="7"/>
        <v>8004</v>
      </c>
    </row>
    <row r="491" spans="6:13" x14ac:dyDescent="0.3">
      <c r="F491" s="7">
        <v>44316</v>
      </c>
      <c r="G491" s="8" t="s">
        <v>12</v>
      </c>
      <c r="H491" s="8" t="s">
        <v>13</v>
      </c>
      <c r="I491" s="8" t="s">
        <v>22</v>
      </c>
      <c r="J491" s="8" t="s">
        <v>21</v>
      </c>
      <c r="K491" s="9">
        <v>33</v>
      </c>
      <c r="L491" s="9">
        <v>75</v>
      </c>
      <c r="M491" s="9">
        <f t="shared" si="7"/>
        <v>2475</v>
      </c>
    </row>
    <row r="492" spans="6:13" x14ac:dyDescent="0.3">
      <c r="F492" s="7">
        <v>44316</v>
      </c>
      <c r="G492" s="8" t="s">
        <v>15</v>
      </c>
      <c r="H492" s="8" t="s">
        <v>13</v>
      </c>
      <c r="I492" s="8" t="s">
        <v>22</v>
      </c>
      <c r="J492" s="8" t="s">
        <v>21</v>
      </c>
      <c r="K492" s="9">
        <v>7</v>
      </c>
      <c r="L492" s="9">
        <v>315</v>
      </c>
      <c r="M492" s="9">
        <f t="shared" si="7"/>
        <v>2205</v>
      </c>
    </row>
    <row r="493" spans="6:13" x14ac:dyDescent="0.3">
      <c r="F493" s="7">
        <v>44316</v>
      </c>
      <c r="G493" s="8" t="s">
        <v>16</v>
      </c>
      <c r="H493" s="8" t="s">
        <v>9</v>
      </c>
      <c r="I493" s="8" t="s">
        <v>20</v>
      </c>
      <c r="J493" s="8" t="s">
        <v>21</v>
      </c>
      <c r="K493" s="9">
        <v>3</v>
      </c>
      <c r="L493" s="9">
        <v>1080</v>
      </c>
      <c r="M493" s="9">
        <f t="shared" si="7"/>
        <v>3240</v>
      </c>
    </row>
    <row r="494" spans="6:13" x14ac:dyDescent="0.3">
      <c r="F494" s="7">
        <v>44316</v>
      </c>
      <c r="G494" s="8" t="s">
        <v>17</v>
      </c>
      <c r="H494" s="8" t="s">
        <v>18</v>
      </c>
      <c r="I494" s="8" t="s">
        <v>22</v>
      </c>
      <c r="J494" s="8" t="s">
        <v>21</v>
      </c>
      <c r="K494" s="9">
        <v>6</v>
      </c>
      <c r="L494" s="9">
        <v>1575</v>
      </c>
      <c r="M494" s="9">
        <f t="shared" si="7"/>
        <v>9450</v>
      </c>
    </row>
    <row r="495" spans="6:13" x14ac:dyDescent="0.3">
      <c r="F495" s="7">
        <v>44316</v>
      </c>
      <c r="G495" s="8" t="s">
        <v>19</v>
      </c>
      <c r="H495" s="8" t="s">
        <v>18</v>
      </c>
      <c r="I495" s="8" t="s">
        <v>22</v>
      </c>
      <c r="J495" s="8" t="s">
        <v>21</v>
      </c>
      <c r="K495" s="9">
        <v>7</v>
      </c>
      <c r="L495" s="9">
        <v>790</v>
      </c>
      <c r="M495" s="9">
        <f t="shared" si="7"/>
        <v>5530</v>
      </c>
    </row>
    <row r="496" spans="6:13" x14ac:dyDescent="0.3">
      <c r="F496" s="7">
        <v>44316</v>
      </c>
      <c r="G496" s="8" t="s">
        <v>8</v>
      </c>
      <c r="H496" s="8" t="s">
        <v>9</v>
      </c>
      <c r="I496" s="8" t="s">
        <v>23</v>
      </c>
      <c r="J496" s="8" t="s">
        <v>24</v>
      </c>
      <c r="K496" s="9">
        <v>6</v>
      </c>
      <c r="L496" s="9">
        <v>2001</v>
      </c>
      <c r="M496" s="9">
        <f t="shared" si="7"/>
        <v>12006</v>
      </c>
    </row>
    <row r="497" spans="6:13" x14ac:dyDescent="0.3">
      <c r="F497" s="7">
        <v>44316</v>
      </c>
      <c r="G497" s="8" t="s">
        <v>12</v>
      </c>
      <c r="H497" s="8" t="s">
        <v>13</v>
      </c>
      <c r="I497" s="8" t="s">
        <v>23</v>
      </c>
      <c r="J497" s="8" t="s">
        <v>24</v>
      </c>
      <c r="K497" s="9">
        <v>41</v>
      </c>
      <c r="L497" s="9">
        <v>75</v>
      </c>
      <c r="M497" s="9">
        <f t="shared" si="7"/>
        <v>3075</v>
      </c>
    </row>
    <row r="498" spans="6:13" x14ac:dyDescent="0.3">
      <c r="F498" s="7">
        <v>44316</v>
      </c>
      <c r="G498" s="8" t="s">
        <v>15</v>
      </c>
      <c r="H498" s="8" t="s">
        <v>13</v>
      </c>
      <c r="I498" s="8" t="s">
        <v>23</v>
      </c>
      <c r="J498" s="8" t="s">
        <v>24</v>
      </c>
      <c r="K498" s="9">
        <v>13</v>
      </c>
      <c r="L498" s="9">
        <v>315</v>
      </c>
      <c r="M498" s="9">
        <f t="shared" si="7"/>
        <v>4095</v>
      </c>
    </row>
    <row r="499" spans="6:13" x14ac:dyDescent="0.3">
      <c r="F499" s="7">
        <v>44316</v>
      </c>
      <c r="G499" s="8" t="s">
        <v>16</v>
      </c>
      <c r="H499" s="8" t="s">
        <v>9</v>
      </c>
      <c r="I499" s="8" t="s">
        <v>23</v>
      </c>
      <c r="J499" s="8" t="s">
        <v>24</v>
      </c>
      <c r="K499" s="9">
        <v>6</v>
      </c>
      <c r="L499" s="9">
        <v>1080</v>
      </c>
      <c r="M499" s="9">
        <f t="shared" si="7"/>
        <v>6480</v>
      </c>
    </row>
    <row r="500" spans="6:13" x14ac:dyDescent="0.3">
      <c r="F500" s="7">
        <v>44316</v>
      </c>
      <c r="G500" s="8" t="s">
        <v>17</v>
      </c>
      <c r="H500" s="8" t="s">
        <v>18</v>
      </c>
      <c r="I500" s="8" t="s">
        <v>25</v>
      </c>
      <c r="J500" s="8" t="s">
        <v>24</v>
      </c>
      <c r="K500" s="9">
        <v>3</v>
      </c>
      <c r="L500" s="9">
        <v>1575</v>
      </c>
      <c r="M500" s="9">
        <f t="shared" si="7"/>
        <v>4725</v>
      </c>
    </row>
    <row r="501" spans="6:13" x14ac:dyDescent="0.3">
      <c r="F501" s="7">
        <v>44316</v>
      </c>
      <c r="G501" s="8" t="s">
        <v>19</v>
      </c>
      <c r="H501" s="8" t="s">
        <v>18</v>
      </c>
      <c r="I501" s="8" t="s">
        <v>25</v>
      </c>
      <c r="J501" s="8" t="s">
        <v>24</v>
      </c>
      <c r="K501" s="9">
        <v>10</v>
      </c>
      <c r="L501" s="9">
        <v>790</v>
      </c>
      <c r="M501" s="9">
        <f t="shared" si="7"/>
        <v>7900</v>
      </c>
    </row>
    <row r="502" spans="6:13" x14ac:dyDescent="0.3">
      <c r="F502" s="7">
        <v>44316</v>
      </c>
      <c r="G502" s="8" t="s">
        <v>8</v>
      </c>
      <c r="H502" s="8" t="s">
        <v>9</v>
      </c>
      <c r="I502" s="8" t="s">
        <v>26</v>
      </c>
      <c r="J502" s="8" t="s">
        <v>27</v>
      </c>
      <c r="K502" s="9">
        <v>4</v>
      </c>
      <c r="L502" s="9">
        <v>2001</v>
      </c>
      <c r="M502" s="9">
        <f t="shared" si="7"/>
        <v>8004</v>
      </c>
    </row>
    <row r="503" spans="6:13" x14ac:dyDescent="0.3">
      <c r="F503" s="7">
        <v>44316</v>
      </c>
      <c r="G503" s="8" t="s">
        <v>12</v>
      </c>
      <c r="H503" s="8" t="s">
        <v>13</v>
      </c>
      <c r="I503" s="8" t="s">
        <v>26</v>
      </c>
      <c r="J503" s="8" t="s">
        <v>27</v>
      </c>
      <c r="K503" s="9">
        <v>47</v>
      </c>
      <c r="L503" s="9">
        <v>75</v>
      </c>
      <c r="M503" s="9">
        <f t="shared" si="7"/>
        <v>3525</v>
      </c>
    </row>
    <row r="504" spans="6:13" x14ac:dyDescent="0.3">
      <c r="F504" s="7">
        <v>44316</v>
      </c>
      <c r="G504" s="8" t="s">
        <v>15</v>
      </c>
      <c r="H504" s="8" t="s">
        <v>13</v>
      </c>
      <c r="I504" s="8" t="s">
        <v>26</v>
      </c>
      <c r="J504" s="8" t="s">
        <v>27</v>
      </c>
      <c r="K504" s="9">
        <v>5</v>
      </c>
      <c r="L504" s="9">
        <v>315</v>
      </c>
      <c r="M504" s="9">
        <f t="shared" si="7"/>
        <v>1575</v>
      </c>
    </row>
    <row r="505" spans="6:13" x14ac:dyDescent="0.3">
      <c r="F505" s="7">
        <v>44316</v>
      </c>
      <c r="G505" s="8" t="s">
        <v>16</v>
      </c>
      <c r="H505" s="8" t="s">
        <v>9</v>
      </c>
      <c r="I505" s="8" t="s">
        <v>26</v>
      </c>
      <c r="J505" s="8" t="s">
        <v>27</v>
      </c>
      <c r="K505" s="9">
        <v>5</v>
      </c>
      <c r="L505" s="9">
        <v>1080</v>
      </c>
      <c r="M505" s="9">
        <f t="shared" si="7"/>
        <v>5400</v>
      </c>
    </row>
    <row r="506" spans="6:13" x14ac:dyDescent="0.3">
      <c r="F506" s="7">
        <v>44316</v>
      </c>
      <c r="G506" s="8" t="s">
        <v>17</v>
      </c>
      <c r="H506" s="8" t="s">
        <v>18</v>
      </c>
      <c r="I506" s="8" t="s">
        <v>28</v>
      </c>
      <c r="J506" s="8" t="s">
        <v>27</v>
      </c>
      <c r="K506" s="9">
        <v>4</v>
      </c>
      <c r="L506" s="9">
        <v>1575</v>
      </c>
      <c r="M506" s="9">
        <f t="shared" si="7"/>
        <v>6300</v>
      </c>
    </row>
    <row r="507" spans="6:13" x14ac:dyDescent="0.3">
      <c r="F507" s="7">
        <v>44316</v>
      </c>
      <c r="G507" s="8" t="s">
        <v>19</v>
      </c>
      <c r="H507" s="8" t="s">
        <v>18</v>
      </c>
      <c r="I507" s="8" t="s">
        <v>28</v>
      </c>
      <c r="J507" s="8" t="s">
        <v>27</v>
      </c>
      <c r="K507" s="9">
        <v>10</v>
      </c>
      <c r="L507" s="9">
        <v>790</v>
      </c>
      <c r="M507" s="9">
        <f t="shared" si="7"/>
        <v>7900</v>
      </c>
    </row>
    <row r="508" spans="6:13" x14ac:dyDescent="0.3">
      <c r="F508" s="7">
        <v>44316</v>
      </c>
      <c r="G508" s="8" t="s">
        <v>8</v>
      </c>
      <c r="H508" s="8" t="s">
        <v>9</v>
      </c>
      <c r="I508" s="8" t="s">
        <v>29</v>
      </c>
      <c r="J508" s="8" t="s">
        <v>30</v>
      </c>
      <c r="K508" s="9">
        <v>6</v>
      </c>
      <c r="L508" s="9">
        <v>2001</v>
      </c>
      <c r="M508" s="9">
        <f t="shared" si="7"/>
        <v>12006</v>
      </c>
    </row>
    <row r="509" spans="6:13" x14ac:dyDescent="0.3">
      <c r="F509" s="7">
        <v>44316</v>
      </c>
      <c r="G509" s="8" t="s">
        <v>12</v>
      </c>
      <c r="H509" s="8" t="s">
        <v>13</v>
      </c>
      <c r="I509" s="8" t="s">
        <v>31</v>
      </c>
      <c r="J509" s="8" t="s">
        <v>30</v>
      </c>
      <c r="K509" s="9">
        <v>50</v>
      </c>
      <c r="L509" s="9">
        <v>75</v>
      </c>
      <c r="M509" s="9">
        <f t="shared" si="7"/>
        <v>3750</v>
      </c>
    </row>
    <row r="510" spans="6:13" x14ac:dyDescent="0.3">
      <c r="F510" s="7">
        <v>44316</v>
      </c>
      <c r="G510" s="8" t="s">
        <v>15</v>
      </c>
      <c r="H510" s="8" t="s">
        <v>13</v>
      </c>
      <c r="I510" s="8" t="s">
        <v>31</v>
      </c>
      <c r="J510" s="8" t="s">
        <v>30</v>
      </c>
      <c r="K510" s="9">
        <v>11</v>
      </c>
      <c r="L510" s="9">
        <v>315</v>
      </c>
      <c r="M510" s="9">
        <f t="shared" si="7"/>
        <v>3465</v>
      </c>
    </row>
    <row r="511" spans="6:13" x14ac:dyDescent="0.3">
      <c r="F511" s="7">
        <v>44316</v>
      </c>
      <c r="G511" s="8" t="s">
        <v>16</v>
      </c>
      <c r="H511" s="8" t="s">
        <v>9</v>
      </c>
      <c r="I511" s="8" t="s">
        <v>29</v>
      </c>
      <c r="J511" s="8" t="s">
        <v>30</v>
      </c>
      <c r="K511" s="9">
        <v>2</v>
      </c>
      <c r="L511" s="9">
        <v>1080</v>
      </c>
      <c r="M511" s="9">
        <f t="shared" si="7"/>
        <v>2160</v>
      </c>
    </row>
    <row r="512" spans="6:13" x14ac:dyDescent="0.3">
      <c r="F512" s="7">
        <v>44316</v>
      </c>
      <c r="G512" s="8" t="s">
        <v>17</v>
      </c>
      <c r="H512" s="8" t="s">
        <v>18</v>
      </c>
      <c r="I512" s="8" t="s">
        <v>31</v>
      </c>
      <c r="J512" s="8" t="s">
        <v>30</v>
      </c>
      <c r="K512" s="9">
        <v>2</v>
      </c>
      <c r="L512" s="9">
        <v>1575</v>
      </c>
      <c r="M512" s="9">
        <f t="shared" si="7"/>
        <v>3150</v>
      </c>
    </row>
    <row r="513" spans="6:13" x14ac:dyDescent="0.3">
      <c r="F513" s="7">
        <v>44316</v>
      </c>
      <c r="G513" s="8" t="s">
        <v>19</v>
      </c>
      <c r="H513" s="8" t="s">
        <v>18</v>
      </c>
      <c r="I513" s="8" t="s">
        <v>31</v>
      </c>
      <c r="J513" s="8" t="s">
        <v>30</v>
      </c>
      <c r="K513" s="9">
        <v>6</v>
      </c>
      <c r="L513" s="9">
        <v>790</v>
      </c>
      <c r="M513" s="9">
        <f t="shared" si="7"/>
        <v>4740</v>
      </c>
    </row>
    <row r="514" spans="6:13" x14ac:dyDescent="0.3">
      <c r="F514" s="7">
        <v>44323</v>
      </c>
      <c r="G514" s="8" t="s">
        <v>8</v>
      </c>
      <c r="H514" s="8" t="s">
        <v>9</v>
      </c>
      <c r="I514" s="8" t="s">
        <v>10</v>
      </c>
      <c r="J514" s="8" t="s">
        <v>11</v>
      </c>
      <c r="K514" s="9">
        <v>3</v>
      </c>
      <c r="L514" s="9">
        <v>2001</v>
      </c>
      <c r="M514" s="9">
        <f t="shared" si="7"/>
        <v>6003</v>
      </c>
    </row>
    <row r="515" spans="6:13" x14ac:dyDescent="0.3">
      <c r="F515" s="7">
        <v>44323</v>
      </c>
      <c r="G515" s="8" t="s">
        <v>12</v>
      </c>
      <c r="H515" s="8" t="s">
        <v>13</v>
      </c>
      <c r="I515" s="8" t="s">
        <v>14</v>
      </c>
      <c r="J515" s="8" t="s">
        <v>11</v>
      </c>
      <c r="K515" s="9">
        <v>54</v>
      </c>
      <c r="L515" s="9">
        <v>75</v>
      </c>
      <c r="M515" s="9">
        <f t="shared" si="7"/>
        <v>4050</v>
      </c>
    </row>
    <row r="516" spans="6:13" x14ac:dyDescent="0.3">
      <c r="F516" s="7">
        <v>44323</v>
      </c>
      <c r="G516" s="8" t="s">
        <v>15</v>
      </c>
      <c r="H516" s="8" t="s">
        <v>13</v>
      </c>
      <c r="I516" s="8" t="s">
        <v>14</v>
      </c>
      <c r="J516" s="8" t="s">
        <v>11</v>
      </c>
      <c r="K516" s="9">
        <v>9</v>
      </c>
      <c r="L516" s="9">
        <v>315</v>
      </c>
      <c r="M516" s="9">
        <f t="shared" ref="M516:M579" si="8">K516*L516</f>
        <v>2835</v>
      </c>
    </row>
    <row r="517" spans="6:13" x14ac:dyDescent="0.3">
      <c r="F517" s="7">
        <v>44323</v>
      </c>
      <c r="G517" s="8" t="s">
        <v>16</v>
      </c>
      <c r="H517" s="8" t="s">
        <v>9</v>
      </c>
      <c r="I517" s="8" t="s">
        <v>10</v>
      </c>
      <c r="J517" s="8" t="s">
        <v>11</v>
      </c>
      <c r="K517" s="9">
        <v>4</v>
      </c>
      <c r="L517" s="9">
        <v>1080</v>
      </c>
      <c r="M517" s="9">
        <f t="shared" si="8"/>
        <v>4320</v>
      </c>
    </row>
    <row r="518" spans="6:13" x14ac:dyDescent="0.3">
      <c r="F518" s="7">
        <v>44323</v>
      </c>
      <c r="G518" s="8" t="s">
        <v>17</v>
      </c>
      <c r="H518" s="8" t="s">
        <v>18</v>
      </c>
      <c r="I518" s="8" t="s">
        <v>10</v>
      </c>
      <c r="J518" s="8" t="s">
        <v>11</v>
      </c>
      <c r="K518" s="9">
        <v>2</v>
      </c>
      <c r="L518" s="9">
        <v>1575</v>
      </c>
      <c r="M518" s="9">
        <f t="shared" si="8"/>
        <v>3150</v>
      </c>
    </row>
    <row r="519" spans="6:13" x14ac:dyDescent="0.3">
      <c r="F519" s="7">
        <v>44323</v>
      </c>
      <c r="G519" s="8" t="s">
        <v>19</v>
      </c>
      <c r="H519" s="8" t="s">
        <v>18</v>
      </c>
      <c r="I519" s="8" t="s">
        <v>10</v>
      </c>
      <c r="J519" s="8" t="s">
        <v>11</v>
      </c>
      <c r="K519" s="9">
        <v>6</v>
      </c>
      <c r="L519" s="9">
        <v>790</v>
      </c>
      <c r="M519" s="9">
        <f t="shared" si="8"/>
        <v>4740</v>
      </c>
    </row>
    <row r="520" spans="6:13" x14ac:dyDescent="0.3">
      <c r="F520" s="7">
        <v>44323</v>
      </c>
      <c r="G520" s="8" t="s">
        <v>8</v>
      </c>
      <c r="H520" s="8" t="s">
        <v>9</v>
      </c>
      <c r="I520" s="8" t="s">
        <v>20</v>
      </c>
      <c r="J520" s="8" t="s">
        <v>21</v>
      </c>
      <c r="K520" s="9">
        <v>3</v>
      </c>
      <c r="L520" s="9">
        <v>2001</v>
      </c>
      <c r="M520" s="9">
        <f t="shared" si="8"/>
        <v>6003</v>
      </c>
    </row>
    <row r="521" spans="6:13" x14ac:dyDescent="0.3">
      <c r="F521" s="7">
        <v>44323</v>
      </c>
      <c r="G521" s="8" t="s">
        <v>12</v>
      </c>
      <c r="H521" s="8" t="s">
        <v>13</v>
      </c>
      <c r="I521" s="8" t="s">
        <v>22</v>
      </c>
      <c r="J521" s="8" t="s">
        <v>21</v>
      </c>
      <c r="K521" s="9">
        <v>35</v>
      </c>
      <c r="L521" s="9">
        <v>75</v>
      </c>
      <c r="M521" s="9">
        <f t="shared" si="8"/>
        <v>2625</v>
      </c>
    </row>
    <row r="522" spans="6:13" x14ac:dyDescent="0.3">
      <c r="F522" s="7">
        <v>44323</v>
      </c>
      <c r="G522" s="8" t="s">
        <v>15</v>
      </c>
      <c r="H522" s="8" t="s">
        <v>13</v>
      </c>
      <c r="I522" s="8" t="s">
        <v>22</v>
      </c>
      <c r="J522" s="8" t="s">
        <v>21</v>
      </c>
      <c r="K522" s="9">
        <v>13</v>
      </c>
      <c r="L522" s="9">
        <v>315</v>
      </c>
      <c r="M522" s="9">
        <f t="shared" si="8"/>
        <v>4095</v>
      </c>
    </row>
    <row r="523" spans="6:13" x14ac:dyDescent="0.3">
      <c r="F523" s="7">
        <v>44323</v>
      </c>
      <c r="G523" s="8" t="s">
        <v>16</v>
      </c>
      <c r="H523" s="8" t="s">
        <v>9</v>
      </c>
      <c r="I523" s="8" t="s">
        <v>20</v>
      </c>
      <c r="J523" s="8" t="s">
        <v>21</v>
      </c>
      <c r="K523" s="9">
        <v>5</v>
      </c>
      <c r="L523" s="9">
        <v>1080</v>
      </c>
      <c r="M523" s="9">
        <f t="shared" si="8"/>
        <v>5400</v>
      </c>
    </row>
    <row r="524" spans="6:13" x14ac:dyDescent="0.3">
      <c r="F524" s="7">
        <v>44323</v>
      </c>
      <c r="G524" s="8" t="s">
        <v>17</v>
      </c>
      <c r="H524" s="8" t="s">
        <v>18</v>
      </c>
      <c r="I524" s="8" t="s">
        <v>22</v>
      </c>
      <c r="J524" s="8" t="s">
        <v>21</v>
      </c>
      <c r="K524" s="9">
        <v>6</v>
      </c>
      <c r="L524" s="9">
        <v>1575</v>
      </c>
      <c r="M524" s="9">
        <f t="shared" si="8"/>
        <v>9450</v>
      </c>
    </row>
    <row r="525" spans="6:13" x14ac:dyDescent="0.3">
      <c r="F525" s="7">
        <v>44323</v>
      </c>
      <c r="G525" s="8" t="s">
        <v>19</v>
      </c>
      <c r="H525" s="8" t="s">
        <v>18</v>
      </c>
      <c r="I525" s="8" t="s">
        <v>20</v>
      </c>
      <c r="J525" s="8" t="s">
        <v>21</v>
      </c>
      <c r="K525" s="9">
        <v>10</v>
      </c>
      <c r="L525" s="9">
        <v>790</v>
      </c>
      <c r="M525" s="9">
        <f t="shared" si="8"/>
        <v>7900</v>
      </c>
    </row>
    <row r="526" spans="6:13" x14ac:dyDescent="0.3">
      <c r="F526" s="7">
        <v>44323</v>
      </c>
      <c r="G526" s="8" t="s">
        <v>8</v>
      </c>
      <c r="H526" s="8" t="s">
        <v>9</v>
      </c>
      <c r="I526" s="8" t="s">
        <v>23</v>
      </c>
      <c r="J526" s="8" t="s">
        <v>24</v>
      </c>
      <c r="K526" s="9">
        <v>4</v>
      </c>
      <c r="L526" s="9">
        <v>2001</v>
      </c>
      <c r="M526" s="9">
        <f t="shared" si="8"/>
        <v>8004</v>
      </c>
    </row>
    <row r="527" spans="6:13" x14ac:dyDescent="0.3">
      <c r="F527" s="7">
        <v>44323</v>
      </c>
      <c r="G527" s="8" t="s">
        <v>12</v>
      </c>
      <c r="H527" s="8" t="s">
        <v>13</v>
      </c>
      <c r="I527" s="8" t="s">
        <v>23</v>
      </c>
      <c r="J527" s="8" t="s">
        <v>24</v>
      </c>
      <c r="K527" s="9">
        <v>51</v>
      </c>
      <c r="L527" s="9">
        <v>75</v>
      </c>
      <c r="M527" s="9">
        <f t="shared" si="8"/>
        <v>3825</v>
      </c>
    </row>
    <row r="528" spans="6:13" x14ac:dyDescent="0.3">
      <c r="F528" s="7">
        <v>44323</v>
      </c>
      <c r="G528" s="8" t="s">
        <v>15</v>
      </c>
      <c r="H528" s="8" t="s">
        <v>13</v>
      </c>
      <c r="I528" s="8" t="s">
        <v>25</v>
      </c>
      <c r="J528" s="8" t="s">
        <v>24</v>
      </c>
      <c r="K528" s="9">
        <v>10</v>
      </c>
      <c r="L528" s="9">
        <v>315</v>
      </c>
      <c r="M528" s="9">
        <f t="shared" si="8"/>
        <v>3150</v>
      </c>
    </row>
    <row r="529" spans="6:13" x14ac:dyDescent="0.3">
      <c r="F529" s="7">
        <v>44323</v>
      </c>
      <c r="G529" s="8" t="s">
        <v>16</v>
      </c>
      <c r="H529" s="8" t="s">
        <v>9</v>
      </c>
      <c r="I529" s="8" t="s">
        <v>23</v>
      </c>
      <c r="J529" s="8" t="s">
        <v>24</v>
      </c>
      <c r="K529" s="9">
        <v>5</v>
      </c>
      <c r="L529" s="9">
        <v>1080</v>
      </c>
      <c r="M529" s="9">
        <f t="shared" si="8"/>
        <v>5400</v>
      </c>
    </row>
    <row r="530" spans="6:13" x14ac:dyDescent="0.3">
      <c r="F530" s="7">
        <v>44323</v>
      </c>
      <c r="G530" s="8" t="s">
        <v>17</v>
      </c>
      <c r="H530" s="8" t="s">
        <v>18</v>
      </c>
      <c r="I530" s="8" t="s">
        <v>25</v>
      </c>
      <c r="J530" s="8" t="s">
        <v>24</v>
      </c>
      <c r="K530" s="9">
        <v>5</v>
      </c>
      <c r="L530" s="9">
        <v>1575</v>
      </c>
      <c r="M530" s="9">
        <f t="shared" si="8"/>
        <v>7875</v>
      </c>
    </row>
    <row r="531" spans="6:13" x14ac:dyDescent="0.3">
      <c r="F531" s="7">
        <v>44323</v>
      </c>
      <c r="G531" s="8" t="s">
        <v>19</v>
      </c>
      <c r="H531" s="8" t="s">
        <v>18</v>
      </c>
      <c r="I531" s="8" t="s">
        <v>25</v>
      </c>
      <c r="J531" s="8" t="s">
        <v>24</v>
      </c>
      <c r="K531" s="9">
        <v>8</v>
      </c>
      <c r="L531" s="9">
        <v>790</v>
      </c>
      <c r="M531" s="9">
        <f t="shared" si="8"/>
        <v>6320</v>
      </c>
    </row>
    <row r="532" spans="6:13" x14ac:dyDescent="0.3">
      <c r="F532" s="7">
        <v>44323</v>
      </c>
      <c r="G532" s="8" t="s">
        <v>8</v>
      </c>
      <c r="H532" s="8" t="s">
        <v>9</v>
      </c>
      <c r="I532" s="8" t="s">
        <v>26</v>
      </c>
      <c r="J532" s="8" t="s">
        <v>27</v>
      </c>
      <c r="K532" s="9">
        <v>5</v>
      </c>
      <c r="L532" s="9">
        <v>2001</v>
      </c>
      <c r="M532" s="9">
        <f t="shared" si="8"/>
        <v>10005</v>
      </c>
    </row>
    <row r="533" spans="6:13" x14ac:dyDescent="0.3">
      <c r="F533" s="7">
        <v>44323</v>
      </c>
      <c r="G533" s="8" t="s">
        <v>12</v>
      </c>
      <c r="H533" s="8" t="s">
        <v>13</v>
      </c>
      <c r="I533" s="8" t="s">
        <v>26</v>
      </c>
      <c r="J533" s="8" t="s">
        <v>27</v>
      </c>
      <c r="K533" s="9">
        <v>48</v>
      </c>
      <c r="L533" s="9">
        <v>75</v>
      </c>
      <c r="M533" s="9">
        <f t="shared" si="8"/>
        <v>3600</v>
      </c>
    </row>
    <row r="534" spans="6:13" x14ac:dyDescent="0.3">
      <c r="F534" s="7">
        <v>44323</v>
      </c>
      <c r="G534" s="8" t="s">
        <v>15</v>
      </c>
      <c r="H534" s="8" t="s">
        <v>13</v>
      </c>
      <c r="I534" s="8" t="s">
        <v>26</v>
      </c>
      <c r="J534" s="8" t="s">
        <v>27</v>
      </c>
      <c r="K534" s="9">
        <v>7</v>
      </c>
      <c r="L534" s="9">
        <v>315</v>
      </c>
      <c r="M534" s="9">
        <f t="shared" si="8"/>
        <v>2205</v>
      </c>
    </row>
    <row r="535" spans="6:13" x14ac:dyDescent="0.3">
      <c r="F535" s="7">
        <v>44323</v>
      </c>
      <c r="G535" s="8" t="s">
        <v>16</v>
      </c>
      <c r="H535" s="8" t="s">
        <v>9</v>
      </c>
      <c r="I535" s="8" t="s">
        <v>26</v>
      </c>
      <c r="J535" s="8" t="s">
        <v>27</v>
      </c>
      <c r="K535" s="9">
        <v>6</v>
      </c>
      <c r="L535" s="9">
        <v>1080</v>
      </c>
      <c r="M535" s="9">
        <f t="shared" si="8"/>
        <v>6480</v>
      </c>
    </row>
    <row r="536" spans="6:13" x14ac:dyDescent="0.3">
      <c r="F536" s="7">
        <v>44323</v>
      </c>
      <c r="G536" s="8" t="s">
        <v>17</v>
      </c>
      <c r="H536" s="8" t="s">
        <v>18</v>
      </c>
      <c r="I536" s="8" t="s">
        <v>28</v>
      </c>
      <c r="J536" s="8" t="s">
        <v>27</v>
      </c>
      <c r="K536" s="9">
        <v>2</v>
      </c>
      <c r="L536" s="9">
        <v>1575</v>
      </c>
      <c r="M536" s="9">
        <f t="shared" si="8"/>
        <v>3150</v>
      </c>
    </row>
    <row r="537" spans="6:13" x14ac:dyDescent="0.3">
      <c r="F537" s="7">
        <v>44323</v>
      </c>
      <c r="G537" s="8" t="s">
        <v>19</v>
      </c>
      <c r="H537" s="8" t="s">
        <v>18</v>
      </c>
      <c r="I537" s="8" t="s">
        <v>28</v>
      </c>
      <c r="J537" s="8" t="s">
        <v>27</v>
      </c>
      <c r="K537" s="9">
        <v>11</v>
      </c>
      <c r="L537" s="9">
        <v>790</v>
      </c>
      <c r="M537" s="9">
        <f t="shared" si="8"/>
        <v>8690</v>
      </c>
    </row>
    <row r="538" spans="6:13" x14ac:dyDescent="0.3">
      <c r="F538" s="7">
        <v>44323</v>
      </c>
      <c r="G538" s="8" t="s">
        <v>8</v>
      </c>
      <c r="H538" s="8" t="s">
        <v>9</v>
      </c>
      <c r="I538" s="8" t="s">
        <v>29</v>
      </c>
      <c r="J538" s="8" t="s">
        <v>30</v>
      </c>
      <c r="K538" s="9">
        <v>6</v>
      </c>
      <c r="L538" s="9">
        <v>2001</v>
      </c>
      <c r="M538" s="9">
        <f t="shared" si="8"/>
        <v>12006</v>
      </c>
    </row>
    <row r="539" spans="6:13" x14ac:dyDescent="0.3">
      <c r="F539" s="7">
        <v>44323</v>
      </c>
      <c r="G539" s="8" t="s">
        <v>12</v>
      </c>
      <c r="H539" s="8" t="s">
        <v>13</v>
      </c>
      <c r="I539" s="8" t="s">
        <v>31</v>
      </c>
      <c r="J539" s="8" t="s">
        <v>30</v>
      </c>
      <c r="K539" s="9">
        <v>57</v>
      </c>
      <c r="L539" s="9">
        <v>75</v>
      </c>
      <c r="M539" s="9">
        <f t="shared" si="8"/>
        <v>4275</v>
      </c>
    </row>
    <row r="540" spans="6:13" x14ac:dyDescent="0.3">
      <c r="F540" s="7">
        <v>44323</v>
      </c>
      <c r="G540" s="8" t="s">
        <v>15</v>
      </c>
      <c r="H540" s="8" t="s">
        <v>13</v>
      </c>
      <c r="I540" s="8" t="s">
        <v>31</v>
      </c>
      <c r="J540" s="8" t="s">
        <v>30</v>
      </c>
      <c r="K540" s="9">
        <v>7</v>
      </c>
      <c r="L540" s="9">
        <v>315</v>
      </c>
      <c r="M540" s="9">
        <f t="shared" si="8"/>
        <v>2205</v>
      </c>
    </row>
    <row r="541" spans="6:13" x14ac:dyDescent="0.3">
      <c r="F541" s="7">
        <v>44323</v>
      </c>
      <c r="G541" s="8" t="s">
        <v>16</v>
      </c>
      <c r="H541" s="8" t="s">
        <v>9</v>
      </c>
      <c r="I541" s="8" t="s">
        <v>29</v>
      </c>
      <c r="J541" s="8" t="s">
        <v>30</v>
      </c>
      <c r="K541" s="9">
        <v>3</v>
      </c>
      <c r="L541" s="9">
        <v>1080</v>
      </c>
      <c r="M541" s="9">
        <f t="shared" si="8"/>
        <v>3240</v>
      </c>
    </row>
    <row r="542" spans="6:13" x14ac:dyDescent="0.3">
      <c r="F542" s="7">
        <v>44323</v>
      </c>
      <c r="G542" s="8" t="s">
        <v>17</v>
      </c>
      <c r="H542" s="8" t="s">
        <v>18</v>
      </c>
      <c r="I542" s="8" t="s">
        <v>31</v>
      </c>
      <c r="J542" s="8" t="s">
        <v>30</v>
      </c>
      <c r="K542" s="9">
        <v>6</v>
      </c>
      <c r="L542" s="9">
        <v>1575</v>
      </c>
      <c r="M542" s="9">
        <f t="shared" si="8"/>
        <v>9450</v>
      </c>
    </row>
    <row r="543" spans="6:13" x14ac:dyDescent="0.3">
      <c r="F543" s="7">
        <v>44323</v>
      </c>
      <c r="G543" s="8" t="s">
        <v>19</v>
      </c>
      <c r="H543" s="8" t="s">
        <v>18</v>
      </c>
      <c r="I543" s="8" t="s">
        <v>29</v>
      </c>
      <c r="J543" s="8" t="s">
        <v>30</v>
      </c>
      <c r="K543" s="9">
        <v>10</v>
      </c>
      <c r="L543" s="9">
        <v>790</v>
      </c>
      <c r="M543" s="9">
        <f t="shared" si="8"/>
        <v>7900</v>
      </c>
    </row>
    <row r="544" spans="6:13" x14ac:dyDescent="0.3">
      <c r="F544" s="7">
        <v>44330</v>
      </c>
      <c r="G544" s="8" t="s">
        <v>8</v>
      </c>
      <c r="H544" s="8" t="s">
        <v>9</v>
      </c>
      <c r="I544" s="8" t="s">
        <v>10</v>
      </c>
      <c r="J544" s="8" t="s">
        <v>11</v>
      </c>
      <c r="K544" s="9">
        <v>5</v>
      </c>
      <c r="L544" s="9">
        <v>2001</v>
      </c>
      <c r="M544" s="9">
        <f t="shared" si="8"/>
        <v>10005</v>
      </c>
    </row>
    <row r="545" spans="6:13" x14ac:dyDescent="0.3">
      <c r="F545" s="7">
        <v>44330</v>
      </c>
      <c r="G545" s="8" t="s">
        <v>12</v>
      </c>
      <c r="H545" s="8" t="s">
        <v>13</v>
      </c>
      <c r="I545" s="8" t="s">
        <v>14</v>
      </c>
      <c r="J545" s="8" t="s">
        <v>11</v>
      </c>
      <c r="K545" s="9">
        <v>52</v>
      </c>
      <c r="L545" s="9">
        <v>75</v>
      </c>
      <c r="M545" s="9">
        <f t="shared" si="8"/>
        <v>3900</v>
      </c>
    </row>
    <row r="546" spans="6:13" x14ac:dyDescent="0.3">
      <c r="F546" s="7">
        <v>44330</v>
      </c>
      <c r="G546" s="8" t="s">
        <v>15</v>
      </c>
      <c r="H546" s="8" t="s">
        <v>13</v>
      </c>
      <c r="I546" s="8" t="s">
        <v>14</v>
      </c>
      <c r="J546" s="8" t="s">
        <v>11</v>
      </c>
      <c r="K546" s="9">
        <v>5</v>
      </c>
      <c r="L546" s="9">
        <v>315</v>
      </c>
      <c r="M546" s="9">
        <f t="shared" si="8"/>
        <v>1575</v>
      </c>
    </row>
    <row r="547" spans="6:13" x14ac:dyDescent="0.3">
      <c r="F547" s="7">
        <v>44330</v>
      </c>
      <c r="G547" s="8" t="s">
        <v>16</v>
      </c>
      <c r="H547" s="8" t="s">
        <v>9</v>
      </c>
      <c r="I547" s="8" t="s">
        <v>10</v>
      </c>
      <c r="J547" s="8" t="s">
        <v>11</v>
      </c>
      <c r="K547" s="9">
        <v>2</v>
      </c>
      <c r="L547" s="9">
        <v>1080</v>
      </c>
      <c r="M547" s="9">
        <f t="shared" si="8"/>
        <v>2160</v>
      </c>
    </row>
    <row r="548" spans="6:13" x14ac:dyDescent="0.3">
      <c r="F548" s="7">
        <v>44330</v>
      </c>
      <c r="G548" s="8" t="s">
        <v>17</v>
      </c>
      <c r="H548" s="8" t="s">
        <v>18</v>
      </c>
      <c r="I548" s="8" t="s">
        <v>10</v>
      </c>
      <c r="J548" s="8" t="s">
        <v>11</v>
      </c>
      <c r="K548" s="9">
        <v>3</v>
      </c>
      <c r="L548" s="9">
        <v>1575</v>
      </c>
      <c r="M548" s="9">
        <f t="shared" si="8"/>
        <v>4725</v>
      </c>
    </row>
    <row r="549" spans="6:13" x14ac:dyDescent="0.3">
      <c r="F549" s="7">
        <v>44330</v>
      </c>
      <c r="G549" s="8" t="s">
        <v>19</v>
      </c>
      <c r="H549" s="8" t="s">
        <v>18</v>
      </c>
      <c r="I549" s="8" t="s">
        <v>10</v>
      </c>
      <c r="J549" s="8" t="s">
        <v>11</v>
      </c>
      <c r="K549" s="9">
        <v>8</v>
      </c>
      <c r="L549" s="9">
        <v>790</v>
      </c>
      <c r="M549" s="9">
        <f t="shared" si="8"/>
        <v>6320</v>
      </c>
    </row>
    <row r="550" spans="6:13" x14ac:dyDescent="0.3">
      <c r="F550" s="7">
        <v>44330</v>
      </c>
      <c r="G550" s="8" t="s">
        <v>8</v>
      </c>
      <c r="H550" s="8" t="s">
        <v>9</v>
      </c>
      <c r="I550" s="8" t="s">
        <v>20</v>
      </c>
      <c r="J550" s="8" t="s">
        <v>21</v>
      </c>
      <c r="K550" s="9">
        <v>5</v>
      </c>
      <c r="L550" s="9">
        <v>2001</v>
      </c>
      <c r="M550" s="9">
        <f t="shared" si="8"/>
        <v>10005</v>
      </c>
    </row>
    <row r="551" spans="6:13" x14ac:dyDescent="0.3">
      <c r="F551" s="7">
        <v>44330</v>
      </c>
      <c r="G551" s="8" t="s">
        <v>12</v>
      </c>
      <c r="H551" s="8" t="s">
        <v>13</v>
      </c>
      <c r="I551" s="8" t="s">
        <v>22</v>
      </c>
      <c r="J551" s="8" t="s">
        <v>21</v>
      </c>
      <c r="K551" s="9">
        <v>38</v>
      </c>
      <c r="L551" s="9">
        <v>75</v>
      </c>
      <c r="M551" s="9">
        <f t="shared" si="8"/>
        <v>2850</v>
      </c>
    </row>
    <row r="552" spans="6:13" x14ac:dyDescent="0.3">
      <c r="F552" s="7">
        <v>44330</v>
      </c>
      <c r="G552" s="8" t="s">
        <v>15</v>
      </c>
      <c r="H552" s="8" t="s">
        <v>13</v>
      </c>
      <c r="I552" s="8" t="s">
        <v>22</v>
      </c>
      <c r="J552" s="8" t="s">
        <v>21</v>
      </c>
      <c r="K552" s="9">
        <v>6</v>
      </c>
      <c r="L552" s="9">
        <v>315</v>
      </c>
      <c r="M552" s="9">
        <f t="shared" si="8"/>
        <v>1890</v>
      </c>
    </row>
    <row r="553" spans="6:13" x14ac:dyDescent="0.3">
      <c r="F553" s="7">
        <v>44330</v>
      </c>
      <c r="G553" s="8" t="s">
        <v>16</v>
      </c>
      <c r="H553" s="8" t="s">
        <v>9</v>
      </c>
      <c r="I553" s="8" t="s">
        <v>20</v>
      </c>
      <c r="J553" s="8" t="s">
        <v>21</v>
      </c>
      <c r="K553" s="9">
        <v>2</v>
      </c>
      <c r="L553" s="9">
        <v>1080</v>
      </c>
      <c r="M553" s="9">
        <f t="shared" si="8"/>
        <v>2160</v>
      </c>
    </row>
    <row r="554" spans="6:13" x14ac:dyDescent="0.3">
      <c r="F554" s="7">
        <v>44330</v>
      </c>
      <c r="G554" s="8" t="s">
        <v>17</v>
      </c>
      <c r="H554" s="8" t="s">
        <v>18</v>
      </c>
      <c r="I554" s="8" t="s">
        <v>20</v>
      </c>
      <c r="J554" s="8" t="s">
        <v>21</v>
      </c>
      <c r="K554" s="9">
        <v>5</v>
      </c>
      <c r="L554" s="9">
        <v>1575</v>
      </c>
      <c r="M554" s="9">
        <f t="shared" si="8"/>
        <v>7875</v>
      </c>
    </row>
    <row r="555" spans="6:13" x14ac:dyDescent="0.3">
      <c r="F555" s="7">
        <v>44330</v>
      </c>
      <c r="G555" s="8" t="s">
        <v>19</v>
      </c>
      <c r="H555" s="8" t="s">
        <v>18</v>
      </c>
      <c r="I555" s="8" t="s">
        <v>20</v>
      </c>
      <c r="J555" s="8" t="s">
        <v>21</v>
      </c>
      <c r="K555" s="9">
        <v>6</v>
      </c>
      <c r="L555" s="9">
        <v>790</v>
      </c>
      <c r="M555" s="9">
        <f t="shared" si="8"/>
        <v>4740</v>
      </c>
    </row>
    <row r="556" spans="6:13" x14ac:dyDescent="0.3">
      <c r="F556" s="7">
        <v>44330</v>
      </c>
      <c r="G556" s="8" t="s">
        <v>8</v>
      </c>
      <c r="H556" s="8" t="s">
        <v>9</v>
      </c>
      <c r="I556" s="8" t="s">
        <v>23</v>
      </c>
      <c r="J556" s="8" t="s">
        <v>24</v>
      </c>
      <c r="K556" s="9">
        <v>4</v>
      </c>
      <c r="L556" s="9">
        <v>2001</v>
      </c>
      <c r="M556" s="9">
        <f t="shared" si="8"/>
        <v>8004</v>
      </c>
    </row>
    <row r="557" spans="6:13" x14ac:dyDescent="0.3">
      <c r="F557" s="7">
        <v>44330</v>
      </c>
      <c r="G557" s="8" t="s">
        <v>12</v>
      </c>
      <c r="H557" s="8" t="s">
        <v>13</v>
      </c>
      <c r="I557" s="8" t="s">
        <v>25</v>
      </c>
      <c r="J557" s="8" t="s">
        <v>24</v>
      </c>
      <c r="K557" s="9">
        <v>31</v>
      </c>
      <c r="L557" s="9">
        <v>75</v>
      </c>
      <c r="M557" s="9">
        <f t="shared" si="8"/>
        <v>2325</v>
      </c>
    </row>
    <row r="558" spans="6:13" x14ac:dyDescent="0.3">
      <c r="F558" s="7">
        <v>44330</v>
      </c>
      <c r="G558" s="8" t="s">
        <v>15</v>
      </c>
      <c r="H558" s="8" t="s">
        <v>13</v>
      </c>
      <c r="I558" s="8" t="s">
        <v>25</v>
      </c>
      <c r="J558" s="8" t="s">
        <v>24</v>
      </c>
      <c r="K558" s="9">
        <v>11</v>
      </c>
      <c r="L558" s="9">
        <v>315</v>
      </c>
      <c r="M558" s="9">
        <f t="shared" si="8"/>
        <v>3465</v>
      </c>
    </row>
    <row r="559" spans="6:13" x14ac:dyDescent="0.3">
      <c r="F559" s="7">
        <v>44330</v>
      </c>
      <c r="G559" s="8" t="s">
        <v>16</v>
      </c>
      <c r="H559" s="8" t="s">
        <v>9</v>
      </c>
      <c r="I559" s="8" t="s">
        <v>23</v>
      </c>
      <c r="J559" s="8" t="s">
        <v>24</v>
      </c>
      <c r="K559" s="9">
        <v>6</v>
      </c>
      <c r="L559" s="9">
        <v>1080</v>
      </c>
      <c r="M559" s="9">
        <f t="shared" si="8"/>
        <v>6480</v>
      </c>
    </row>
    <row r="560" spans="6:13" x14ac:dyDescent="0.3">
      <c r="F560" s="7">
        <v>44330</v>
      </c>
      <c r="G560" s="8" t="s">
        <v>17</v>
      </c>
      <c r="H560" s="8" t="s">
        <v>18</v>
      </c>
      <c r="I560" s="8" t="s">
        <v>25</v>
      </c>
      <c r="J560" s="8" t="s">
        <v>24</v>
      </c>
      <c r="K560" s="9">
        <v>4</v>
      </c>
      <c r="L560" s="9">
        <v>1575</v>
      </c>
      <c r="M560" s="9">
        <f t="shared" si="8"/>
        <v>6300</v>
      </c>
    </row>
    <row r="561" spans="6:13" x14ac:dyDescent="0.3">
      <c r="F561" s="7">
        <v>44330</v>
      </c>
      <c r="G561" s="8" t="s">
        <v>19</v>
      </c>
      <c r="H561" s="8" t="s">
        <v>18</v>
      </c>
      <c r="I561" s="8" t="s">
        <v>25</v>
      </c>
      <c r="J561" s="8" t="s">
        <v>24</v>
      </c>
      <c r="K561" s="9">
        <v>10</v>
      </c>
      <c r="L561" s="9">
        <v>790</v>
      </c>
      <c r="M561" s="9">
        <f t="shared" si="8"/>
        <v>7900</v>
      </c>
    </row>
    <row r="562" spans="6:13" x14ac:dyDescent="0.3">
      <c r="F562" s="7">
        <v>44330</v>
      </c>
      <c r="G562" s="8" t="s">
        <v>8</v>
      </c>
      <c r="H562" s="8" t="s">
        <v>9</v>
      </c>
      <c r="I562" s="8" t="s">
        <v>26</v>
      </c>
      <c r="J562" s="8" t="s">
        <v>27</v>
      </c>
      <c r="K562" s="9">
        <v>3</v>
      </c>
      <c r="L562" s="9">
        <v>2001</v>
      </c>
      <c r="M562" s="9">
        <f t="shared" si="8"/>
        <v>6003</v>
      </c>
    </row>
    <row r="563" spans="6:13" x14ac:dyDescent="0.3">
      <c r="F563" s="7">
        <v>44330</v>
      </c>
      <c r="G563" s="8" t="s">
        <v>12</v>
      </c>
      <c r="H563" s="8" t="s">
        <v>13</v>
      </c>
      <c r="I563" s="8" t="s">
        <v>26</v>
      </c>
      <c r="J563" s="8" t="s">
        <v>27</v>
      </c>
      <c r="K563" s="9">
        <v>39</v>
      </c>
      <c r="L563" s="9">
        <v>75</v>
      </c>
      <c r="M563" s="9">
        <f t="shared" si="8"/>
        <v>2925</v>
      </c>
    </row>
    <row r="564" spans="6:13" x14ac:dyDescent="0.3">
      <c r="F564" s="7">
        <v>44330</v>
      </c>
      <c r="G564" s="8" t="s">
        <v>15</v>
      </c>
      <c r="H564" s="8" t="s">
        <v>13</v>
      </c>
      <c r="I564" s="8" t="s">
        <v>28</v>
      </c>
      <c r="J564" s="8" t="s">
        <v>27</v>
      </c>
      <c r="K564" s="9">
        <v>5</v>
      </c>
      <c r="L564" s="9">
        <v>315</v>
      </c>
      <c r="M564" s="9">
        <f t="shared" si="8"/>
        <v>1575</v>
      </c>
    </row>
    <row r="565" spans="6:13" x14ac:dyDescent="0.3">
      <c r="F565" s="7">
        <v>44330</v>
      </c>
      <c r="G565" s="8" t="s">
        <v>16</v>
      </c>
      <c r="H565" s="8" t="s">
        <v>9</v>
      </c>
      <c r="I565" s="8" t="s">
        <v>26</v>
      </c>
      <c r="J565" s="8" t="s">
        <v>27</v>
      </c>
      <c r="K565" s="9">
        <v>3</v>
      </c>
      <c r="L565" s="9">
        <v>1080</v>
      </c>
      <c r="M565" s="9">
        <f t="shared" si="8"/>
        <v>3240</v>
      </c>
    </row>
    <row r="566" spans="6:13" x14ac:dyDescent="0.3">
      <c r="F566" s="7">
        <v>44330</v>
      </c>
      <c r="G566" s="8" t="s">
        <v>17</v>
      </c>
      <c r="H566" s="8" t="s">
        <v>18</v>
      </c>
      <c r="I566" s="8" t="s">
        <v>28</v>
      </c>
      <c r="J566" s="8" t="s">
        <v>27</v>
      </c>
      <c r="K566" s="9">
        <v>5</v>
      </c>
      <c r="L566" s="9">
        <v>1575</v>
      </c>
      <c r="M566" s="9">
        <f t="shared" si="8"/>
        <v>7875</v>
      </c>
    </row>
    <row r="567" spans="6:13" x14ac:dyDescent="0.3">
      <c r="F567" s="7">
        <v>44330</v>
      </c>
      <c r="G567" s="8" t="s">
        <v>19</v>
      </c>
      <c r="H567" s="8" t="s">
        <v>18</v>
      </c>
      <c r="I567" s="8" t="s">
        <v>28</v>
      </c>
      <c r="J567" s="8" t="s">
        <v>27</v>
      </c>
      <c r="K567" s="9">
        <v>6</v>
      </c>
      <c r="L567" s="9">
        <v>790</v>
      </c>
      <c r="M567" s="9">
        <f t="shared" si="8"/>
        <v>4740</v>
      </c>
    </row>
    <row r="568" spans="6:13" x14ac:dyDescent="0.3">
      <c r="F568" s="7">
        <v>44330</v>
      </c>
      <c r="G568" s="8" t="s">
        <v>8</v>
      </c>
      <c r="H568" s="8" t="s">
        <v>9</v>
      </c>
      <c r="I568" s="8" t="s">
        <v>29</v>
      </c>
      <c r="J568" s="8" t="s">
        <v>30</v>
      </c>
      <c r="K568" s="9">
        <v>6</v>
      </c>
      <c r="L568" s="9">
        <v>2001</v>
      </c>
      <c r="M568" s="9">
        <f t="shared" si="8"/>
        <v>12006</v>
      </c>
    </row>
    <row r="569" spans="6:13" x14ac:dyDescent="0.3">
      <c r="F569" s="7">
        <v>44330</v>
      </c>
      <c r="G569" s="8" t="s">
        <v>12</v>
      </c>
      <c r="H569" s="8" t="s">
        <v>13</v>
      </c>
      <c r="I569" s="8" t="s">
        <v>31</v>
      </c>
      <c r="J569" s="8" t="s">
        <v>30</v>
      </c>
      <c r="K569" s="9">
        <v>32</v>
      </c>
      <c r="L569" s="9">
        <v>75</v>
      </c>
      <c r="M569" s="9">
        <f t="shared" si="8"/>
        <v>2400</v>
      </c>
    </row>
    <row r="570" spans="6:13" x14ac:dyDescent="0.3">
      <c r="F570" s="7">
        <v>44330</v>
      </c>
      <c r="G570" s="8" t="s">
        <v>15</v>
      </c>
      <c r="H570" s="8" t="s">
        <v>13</v>
      </c>
      <c r="I570" s="8" t="s">
        <v>31</v>
      </c>
      <c r="J570" s="8" t="s">
        <v>30</v>
      </c>
      <c r="K570" s="9">
        <v>8</v>
      </c>
      <c r="L570" s="9">
        <v>315</v>
      </c>
      <c r="M570" s="9">
        <f t="shared" si="8"/>
        <v>2520</v>
      </c>
    </row>
    <row r="571" spans="6:13" x14ac:dyDescent="0.3">
      <c r="F571" s="7">
        <v>44330</v>
      </c>
      <c r="G571" s="8" t="s">
        <v>16</v>
      </c>
      <c r="H571" s="8" t="s">
        <v>9</v>
      </c>
      <c r="I571" s="8" t="s">
        <v>29</v>
      </c>
      <c r="J571" s="8" t="s">
        <v>30</v>
      </c>
      <c r="K571" s="9">
        <v>5</v>
      </c>
      <c r="L571" s="9">
        <v>1080</v>
      </c>
      <c r="M571" s="9">
        <f t="shared" si="8"/>
        <v>5400</v>
      </c>
    </row>
    <row r="572" spans="6:13" x14ac:dyDescent="0.3">
      <c r="F572" s="7">
        <v>44330</v>
      </c>
      <c r="G572" s="8" t="s">
        <v>17</v>
      </c>
      <c r="H572" s="8" t="s">
        <v>18</v>
      </c>
      <c r="I572" s="8" t="s">
        <v>29</v>
      </c>
      <c r="J572" s="8" t="s">
        <v>30</v>
      </c>
      <c r="K572" s="9">
        <v>5</v>
      </c>
      <c r="L572" s="9">
        <v>1575</v>
      </c>
      <c r="M572" s="9">
        <f t="shared" si="8"/>
        <v>7875</v>
      </c>
    </row>
    <row r="573" spans="6:13" x14ac:dyDescent="0.3">
      <c r="F573" s="7">
        <v>44330</v>
      </c>
      <c r="G573" s="8" t="s">
        <v>19</v>
      </c>
      <c r="H573" s="8" t="s">
        <v>18</v>
      </c>
      <c r="I573" s="8" t="s">
        <v>29</v>
      </c>
      <c r="J573" s="8" t="s">
        <v>30</v>
      </c>
      <c r="K573" s="9">
        <v>11</v>
      </c>
      <c r="L573" s="9">
        <v>790</v>
      </c>
      <c r="M573" s="9">
        <f t="shared" si="8"/>
        <v>8690</v>
      </c>
    </row>
    <row r="574" spans="6:13" x14ac:dyDescent="0.3">
      <c r="F574" s="7">
        <v>44337</v>
      </c>
      <c r="G574" s="8" t="s">
        <v>8</v>
      </c>
      <c r="H574" s="8" t="s">
        <v>9</v>
      </c>
      <c r="I574" s="8" t="s">
        <v>10</v>
      </c>
      <c r="J574" s="8" t="s">
        <v>11</v>
      </c>
      <c r="K574" s="9">
        <v>6</v>
      </c>
      <c r="L574" s="9">
        <v>2001</v>
      </c>
      <c r="M574" s="9">
        <f t="shared" si="8"/>
        <v>12006</v>
      </c>
    </row>
    <row r="575" spans="6:13" x14ac:dyDescent="0.3">
      <c r="F575" s="7">
        <v>44337</v>
      </c>
      <c r="G575" s="8" t="s">
        <v>12</v>
      </c>
      <c r="H575" s="8" t="s">
        <v>13</v>
      </c>
      <c r="I575" s="8" t="s">
        <v>14</v>
      </c>
      <c r="J575" s="8" t="s">
        <v>11</v>
      </c>
      <c r="K575" s="9">
        <v>37</v>
      </c>
      <c r="L575" s="9">
        <v>75</v>
      </c>
      <c r="M575" s="9">
        <f t="shared" si="8"/>
        <v>2775</v>
      </c>
    </row>
    <row r="576" spans="6:13" x14ac:dyDescent="0.3">
      <c r="F576" s="7">
        <v>44337</v>
      </c>
      <c r="G576" s="8" t="s">
        <v>15</v>
      </c>
      <c r="H576" s="8" t="s">
        <v>13</v>
      </c>
      <c r="I576" s="8" t="s">
        <v>14</v>
      </c>
      <c r="J576" s="8" t="s">
        <v>11</v>
      </c>
      <c r="K576" s="9">
        <v>7</v>
      </c>
      <c r="L576" s="9">
        <v>315</v>
      </c>
      <c r="M576" s="9">
        <f t="shared" si="8"/>
        <v>2205</v>
      </c>
    </row>
    <row r="577" spans="6:13" x14ac:dyDescent="0.3">
      <c r="F577" s="7">
        <v>44337</v>
      </c>
      <c r="G577" s="8" t="s">
        <v>16</v>
      </c>
      <c r="H577" s="8" t="s">
        <v>9</v>
      </c>
      <c r="I577" s="8" t="s">
        <v>10</v>
      </c>
      <c r="J577" s="8" t="s">
        <v>11</v>
      </c>
      <c r="K577" s="9">
        <v>6</v>
      </c>
      <c r="L577" s="9">
        <v>1080</v>
      </c>
      <c r="M577" s="9">
        <f t="shared" si="8"/>
        <v>6480</v>
      </c>
    </row>
    <row r="578" spans="6:13" x14ac:dyDescent="0.3">
      <c r="F578" s="7">
        <v>44337</v>
      </c>
      <c r="G578" s="8" t="s">
        <v>17</v>
      </c>
      <c r="H578" s="8" t="s">
        <v>18</v>
      </c>
      <c r="I578" s="8" t="s">
        <v>10</v>
      </c>
      <c r="J578" s="8" t="s">
        <v>11</v>
      </c>
      <c r="K578" s="9">
        <v>6</v>
      </c>
      <c r="L578" s="9">
        <v>1575</v>
      </c>
      <c r="M578" s="9">
        <f t="shared" si="8"/>
        <v>9450</v>
      </c>
    </row>
    <row r="579" spans="6:13" x14ac:dyDescent="0.3">
      <c r="F579" s="7">
        <v>44337</v>
      </c>
      <c r="G579" s="8" t="s">
        <v>19</v>
      </c>
      <c r="H579" s="8" t="s">
        <v>18</v>
      </c>
      <c r="I579" s="8" t="s">
        <v>10</v>
      </c>
      <c r="J579" s="8" t="s">
        <v>11</v>
      </c>
      <c r="K579" s="9">
        <v>8</v>
      </c>
      <c r="L579" s="9">
        <v>790</v>
      </c>
      <c r="M579" s="9">
        <f t="shared" si="8"/>
        <v>6320</v>
      </c>
    </row>
    <row r="580" spans="6:13" x14ac:dyDescent="0.3">
      <c r="F580" s="7">
        <v>44337</v>
      </c>
      <c r="G580" s="8" t="s">
        <v>8</v>
      </c>
      <c r="H580" s="8" t="s">
        <v>9</v>
      </c>
      <c r="I580" s="8" t="s">
        <v>20</v>
      </c>
      <c r="J580" s="8" t="s">
        <v>21</v>
      </c>
      <c r="K580" s="9">
        <v>6</v>
      </c>
      <c r="L580" s="9">
        <v>2001</v>
      </c>
      <c r="M580" s="9">
        <f t="shared" ref="M580:M643" si="9">K580*L580</f>
        <v>12006</v>
      </c>
    </row>
    <row r="581" spans="6:13" x14ac:dyDescent="0.3">
      <c r="F581" s="7">
        <v>44337</v>
      </c>
      <c r="G581" s="8" t="s">
        <v>12</v>
      </c>
      <c r="H581" s="8" t="s">
        <v>13</v>
      </c>
      <c r="I581" s="8" t="s">
        <v>22</v>
      </c>
      <c r="J581" s="8" t="s">
        <v>21</v>
      </c>
      <c r="K581" s="9">
        <v>36</v>
      </c>
      <c r="L581" s="9">
        <v>75</v>
      </c>
      <c r="M581" s="9">
        <f t="shared" si="9"/>
        <v>2700</v>
      </c>
    </row>
    <row r="582" spans="6:13" x14ac:dyDescent="0.3">
      <c r="F582" s="7">
        <v>44337</v>
      </c>
      <c r="G582" s="8" t="s">
        <v>15</v>
      </c>
      <c r="H582" s="8" t="s">
        <v>13</v>
      </c>
      <c r="I582" s="8" t="s">
        <v>22</v>
      </c>
      <c r="J582" s="8" t="s">
        <v>21</v>
      </c>
      <c r="K582" s="9">
        <v>13</v>
      </c>
      <c r="L582" s="9">
        <v>315</v>
      </c>
      <c r="M582" s="9">
        <f t="shared" si="9"/>
        <v>4095</v>
      </c>
    </row>
    <row r="583" spans="6:13" x14ac:dyDescent="0.3">
      <c r="F583" s="7">
        <v>44337</v>
      </c>
      <c r="G583" s="8" t="s">
        <v>16</v>
      </c>
      <c r="H583" s="8" t="s">
        <v>9</v>
      </c>
      <c r="I583" s="8" t="s">
        <v>20</v>
      </c>
      <c r="J583" s="8" t="s">
        <v>21</v>
      </c>
      <c r="K583" s="9">
        <v>4</v>
      </c>
      <c r="L583" s="9">
        <v>1080</v>
      </c>
      <c r="M583" s="9">
        <f t="shared" si="9"/>
        <v>4320</v>
      </c>
    </row>
    <row r="584" spans="6:13" x14ac:dyDescent="0.3">
      <c r="F584" s="7">
        <v>44337</v>
      </c>
      <c r="G584" s="8" t="s">
        <v>17</v>
      </c>
      <c r="H584" s="8" t="s">
        <v>18</v>
      </c>
      <c r="I584" s="8" t="s">
        <v>20</v>
      </c>
      <c r="J584" s="8" t="s">
        <v>21</v>
      </c>
      <c r="K584" s="9">
        <v>3</v>
      </c>
      <c r="L584" s="9">
        <v>1575</v>
      </c>
      <c r="M584" s="9">
        <f t="shared" si="9"/>
        <v>4725</v>
      </c>
    </row>
    <row r="585" spans="6:13" x14ac:dyDescent="0.3">
      <c r="F585" s="7">
        <v>44337</v>
      </c>
      <c r="G585" s="8" t="s">
        <v>19</v>
      </c>
      <c r="H585" s="8" t="s">
        <v>18</v>
      </c>
      <c r="I585" s="8" t="s">
        <v>20</v>
      </c>
      <c r="J585" s="8" t="s">
        <v>21</v>
      </c>
      <c r="K585" s="9">
        <v>9</v>
      </c>
      <c r="L585" s="9">
        <v>790</v>
      </c>
      <c r="M585" s="9">
        <f t="shared" si="9"/>
        <v>7110</v>
      </c>
    </row>
    <row r="586" spans="6:13" x14ac:dyDescent="0.3">
      <c r="F586" s="7">
        <v>44337</v>
      </c>
      <c r="G586" s="8" t="s">
        <v>8</v>
      </c>
      <c r="H586" s="8" t="s">
        <v>9</v>
      </c>
      <c r="I586" s="8" t="s">
        <v>23</v>
      </c>
      <c r="J586" s="8" t="s">
        <v>24</v>
      </c>
      <c r="K586" s="9">
        <v>3</v>
      </c>
      <c r="L586" s="9">
        <v>2001</v>
      </c>
      <c r="M586" s="9">
        <f t="shared" si="9"/>
        <v>6003</v>
      </c>
    </row>
    <row r="587" spans="6:13" x14ac:dyDescent="0.3">
      <c r="F587" s="7">
        <v>44337</v>
      </c>
      <c r="G587" s="8" t="s">
        <v>12</v>
      </c>
      <c r="H587" s="8" t="s">
        <v>13</v>
      </c>
      <c r="I587" s="8" t="s">
        <v>25</v>
      </c>
      <c r="J587" s="8" t="s">
        <v>24</v>
      </c>
      <c r="K587" s="9">
        <v>57</v>
      </c>
      <c r="L587" s="9">
        <v>75</v>
      </c>
      <c r="M587" s="9">
        <f t="shared" si="9"/>
        <v>4275</v>
      </c>
    </row>
    <row r="588" spans="6:13" x14ac:dyDescent="0.3">
      <c r="F588" s="7">
        <v>44337</v>
      </c>
      <c r="G588" s="8" t="s">
        <v>15</v>
      </c>
      <c r="H588" s="8" t="s">
        <v>13</v>
      </c>
      <c r="I588" s="8" t="s">
        <v>25</v>
      </c>
      <c r="J588" s="8" t="s">
        <v>24</v>
      </c>
      <c r="K588" s="9">
        <v>9</v>
      </c>
      <c r="L588" s="9">
        <v>315</v>
      </c>
      <c r="M588" s="9">
        <f t="shared" si="9"/>
        <v>2835</v>
      </c>
    </row>
    <row r="589" spans="6:13" x14ac:dyDescent="0.3">
      <c r="F589" s="7">
        <v>44337</v>
      </c>
      <c r="G589" s="8" t="s">
        <v>16</v>
      </c>
      <c r="H589" s="8" t="s">
        <v>9</v>
      </c>
      <c r="I589" s="8" t="s">
        <v>23</v>
      </c>
      <c r="J589" s="8" t="s">
        <v>24</v>
      </c>
      <c r="K589" s="9">
        <v>6</v>
      </c>
      <c r="L589" s="9">
        <v>1080</v>
      </c>
      <c r="M589" s="9">
        <f t="shared" si="9"/>
        <v>6480</v>
      </c>
    </row>
    <row r="590" spans="6:13" x14ac:dyDescent="0.3">
      <c r="F590" s="7">
        <v>44337</v>
      </c>
      <c r="G590" s="8" t="s">
        <v>17</v>
      </c>
      <c r="H590" s="8" t="s">
        <v>18</v>
      </c>
      <c r="I590" s="8" t="s">
        <v>25</v>
      </c>
      <c r="J590" s="8" t="s">
        <v>24</v>
      </c>
      <c r="K590" s="9">
        <v>2</v>
      </c>
      <c r="L590" s="9">
        <v>1575</v>
      </c>
      <c r="M590" s="9">
        <f t="shared" si="9"/>
        <v>3150</v>
      </c>
    </row>
    <row r="591" spans="6:13" x14ac:dyDescent="0.3">
      <c r="F591" s="7">
        <v>44337</v>
      </c>
      <c r="G591" s="8" t="s">
        <v>19</v>
      </c>
      <c r="H591" s="8" t="s">
        <v>18</v>
      </c>
      <c r="I591" s="8" t="s">
        <v>25</v>
      </c>
      <c r="J591" s="8" t="s">
        <v>24</v>
      </c>
      <c r="K591" s="9">
        <v>11</v>
      </c>
      <c r="L591" s="9">
        <v>790</v>
      </c>
      <c r="M591" s="9">
        <f t="shared" si="9"/>
        <v>8690</v>
      </c>
    </row>
    <row r="592" spans="6:13" x14ac:dyDescent="0.3">
      <c r="F592" s="7">
        <v>44337</v>
      </c>
      <c r="G592" s="8" t="s">
        <v>8</v>
      </c>
      <c r="H592" s="8" t="s">
        <v>9</v>
      </c>
      <c r="I592" s="8" t="s">
        <v>26</v>
      </c>
      <c r="J592" s="8" t="s">
        <v>27</v>
      </c>
      <c r="K592" s="9">
        <v>5</v>
      </c>
      <c r="L592" s="9">
        <v>2001</v>
      </c>
      <c r="M592" s="9">
        <f t="shared" si="9"/>
        <v>10005</v>
      </c>
    </row>
    <row r="593" spans="6:13" x14ac:dyDescent="0.3">
      <c r="F593" s="7">
        <v>44337</v>
      </c>
      <c r="G593" s="8" t="s">
        <v>12</v>
      </c>
      <c r="H593" s="8" t="s">
        <v>13</v>
      </c>
      <c r="I593" s="8" t="s">
        <v>28</v>
      </c>
      <c r="J593" s="8" t="s">
        <v>27</v>
      </c>
      <c r="K593" s="9">
        <v>55</v>
      </c>
      <c r="L593" s="9">
        <v>75</v>
      </c>
      <c r="M593" s="9">
        <f t="shared" si="9"/>
        <v>4125</v>
      </c>
    </row>
    <row r="594" spans="6:13" x14ac:dyDescent="0.3">
      <c r="F594" s="7">
        <v>44337</v>
      </c>
      <c r="G594" s="8" t="s">
        <v>15</v>
      </c>
      <c r="H594" s="8" t="s">
        <v>13</v>
      </c>
      <c r="I594" s="8" t="s">
        <v>28</v>
      </c>
      <c r="J594" s="8" t="s">
        <v>27</v>
      </c>
      <c r="K594" s="9">
        <v>11</v>
      </c>
      <c r="L594" s="9">
        <v>315</v>
      </c>
      <c r="M594" s="9">
        <f t="shared" si="9"/>
        <v>3465</v>
      </c>
    </row>
    <row r="595" spans="6:13" x14ac:dyDescent="0.3">
      <c r="F595" s="7">
        <v>44337</v>
      </c>
      <c r="G595" s="8" t="s">
        <v>16</v>
      </c>
      <c r="H595" s="8" t="s">
        <v>9</v>
      </c>
      <c r="I595" s="8" t="s">
        <v>26</v>
      </c>
      <c r="J595" s="8" t="s">
        <v>27</v>
      </c>
      <c r="K595" s="9">
        <v>5</v>
      </c>
      <c r="L595" s="9">
        <v>1080</v>
      </c>
      <c r="M595" s="9">
        <f t="shared" si="9"/>
        <v>5400</v>
      </c>
    </row>
    <row r="596" spans="6:13" x14ac:dyDescent="0.3">
      <c r="F596" s="7">
        <v>44337</v>
      </c>
      <c r="G596" s="8" t="s">
        <v>17</v>
      </c>
      <c r="H596" s="8" t="s">
        <v>18</v>
      </c>
      <c r="I596" s="8" t="s">
        <v>28</v>
      </c>
      <c r="J596" s="8" t="s">
        <v>27</v>
      </c>
      <c r="K596" s="9">
        <v>4</v>
      </c>
      <c r="L596" s="9">
        <v>1575</v>
      </c>
      <c r="M596" s="9">
        <f t="shared" si="9"/>
        <v>6300</v>
      </c>
    </row>
    <row r="597" spans="6:13" x14ac:dyDescent="0.3">
      <c r="F597" s="7">
        <v>44337</v>
      </c>
      <c r="G597" s="8" t="s">
        <v>19</v>
      </c>
      <c r="H597" s="8" t="s">
        <v>18</v>
      </c>
      <c r="I597" s="8" t="s">
        <v>28</v>
      </c>
      <c r="J597" s="8" t="s">
        <v>27</v>
      </c>
      <c r="K597" s="9">
        <v>10</v>
      </c>
      <c r="L597" s="9">
        <v>790</v>
      </c>
      <c r="M597" s="9">
        <f t="shared" si="9"/>
        <v>7900</v>
      </c>
    </row>
    <row r="598" spans="6:13" x14ac:dyDescent="0.3">
      <c r="F598" s="7">
        <v>44337</v>
      </c>
      <c r="G598" s="8" t="s">
        <v>8</v>
      </c>
      <c r="H598" s="8" t="s">
        <v>9</v>
      </c>
      <c r="I598" s="8" t="s">
        <v>29</v>
      </c>
      <c r="J598" s="8" t="s">
        <v>30</v>
      </c>
      <c r="K598" s="9">
        <v>6</v>
      </c>
      <c r="L598" s="9">
        <v>2001</v>
      </c>
      <c r="M598" s="9">
        <f t="shared" si="9"/>
        <v>12006</v>
      </c>
    </row>
    <row r="599" spans="6:13" x14ac:dyDescent="0.3">
      <c r="F599" s="7">
        <v>44337</v>
      </c>
      <c r="G599" s="8" t="s">
        <v>12</v>
      </c>
      <c r="H599" s="8" t="s">
        <v>13</v>
      </c>
      <c r="I599" s="8" t="s">
        <v>31</v>
      </c>
      <c r="J599" s="8" t="s">
        <v>30</v>
      </c>
      <c r="K599" s="9">
        <v>48</v>
      </c>
      <c r="L599" s="9">
        <v>75</v>
      </c>
      <c r="M599" s="9">
        <f t="shared" si="9"/>
        <v>3600</v>
      </c>
    </row>
    <row r="600" spans="6:13" x14ac:dyDescent="0.3">
      <c r="F600" s="7">
        <v>44337</v>
      </c>
      <c r="G600" s="8" t="s">
        <v>15</v>
      </c>
      <c r="H600" s="8" t="s">
        <v>13</v>
      </c>
      <c r="I600" s="8" t="s">
        <v>31</v>
      </c>
      <c r="J600" s="8" t="s">
        <v>30</v>
      </c>
      <c r="K600" s="9">
        <v>13</v>
      </c>
      <c r="L600" s="9">
        <v>315</v>
      </c>
      <c r="M600" s="9">
        <f t="shared" si="9"/>
        <v>4095</v>
      </c>
    </row>
    <row r="601" spans="6:13" x14ac:dyDescent="0.3">
      <c r="F601" s="7">
        <v>44337</v>
      </c>
      <c r="G601" s="8" t="s">
        <v>16</v>
      </c>
      <c r="H601" s="8" t="s">
        <v>9</v>
      </c>
      <c r="I601" s="8" t="s">
        <v>29</v>
      </c>
      <c r="J601" s="8" t="s">
        <v>30</v>
      </c>
      <c r="K601" s="9">
        <v>4</v>
      </c>
      <c r="L601" s="9">
        <v>1080</v>
      </c>
      <c r="M601" s="9">
        <f t="shared" si="9"/>
        <v>4320</v>
      </c>
    </row>
    <row r="602" spans="6:13" x14ac:dyDescent="0.3">
      <c r="F602" s="7">
        <v>44337</v>
      </c>
      <c r="G602" s="8" t="s">
        <v>17</v>
      </c>
      <c r="H602" s="8" t="s">
        <v>18</v>
      </c>
      <c r="I602" s="8" t="s">
        <v>29</v>
      </c>
      <c r="J602" s="8" t="s">
        <v>30</v>
      </c>
      <c r="K602" s="9">
        <v>6</v>
      </c>
      <c r="L602" s="9">
        <v>1575</v>
      </c>
      <c r="M602" s="9">
        <f t="shared" si="9"/>
        <v>9450</v>
      </c>
    </row>
    <row r="603" spans="6:13" x14ac:dyDescent="0.3">
      <c r="F603" s="7">
        <v>44337</v>
      </c>
      <c r="G603" s="8" t="s">
        <v>19</v>
      </c>
      <c r="H603" s="8" t="s">
        <v>18</v>
      </c>
      <c r="I603" s="8" t="s">
        <v>29</v>
      </c>
      <c r="J603" s="8" t="s">
        <v>30</v>
      </c>
      <c r="K603" s="9">
        <v>7</v>
      </c>
      <c r="L603" s="9">
        <v>790</v>
      </c>
      <c r="M603" s="9">
        <f t="shared" si="9"/>
        <v>5530</v>
      </c>
    </row>
    <row r="604" spans="6:13" x14ac:dyDescent="0.3">
      <c r="F604" s="7">
        <v>44344</v>
      </c>
      <c r="G604" s="8" t="s">
        <v>8</v>
      </c>
      <c r="H604" s="8" t="s">
        <v>9</v>
      </c>
      <c r="I604" s="8" t="s">
        <v>10</v>
      </c>
      <c r="J604" s="8" t="s">
        <v>11</v>
      </c>
      <c r="K604" s="9">
        <v>4</v>
      </c>
      <c r="L604" s="9">
        <v>2001</v>
      </c>
      <c r="M604" s="9">
        <f t="shared" si="9"/>
        <v>8004</v>
      </c>
    </row>
    <row r="605" spans="6:13" x14ac:dyDescent="0.3">
      <c r="F605" s="7">
        <v>44344</v>
      </c>
      <c r="G605" s="8" t="s">
        <v>12</v>
      </c>
      <c r="H605" s="8" t="s">
        <v>13</v>
      </c>
      <c r="I605" s="8" t="s">
        <v>14</v>
      </c>
      <c r="J605" s="8" t="s">
        <v>11</v>
      </c>
      <c r="K605" s="9">
        <v>47</v>
      </c>
      <c r="L605" s="9">
        <v>75</v>
      </c>
      <c r="M605" s="9">
        <f t="shared" si="9"/>
        <v>3525</v>
      </c>
    </row>
    <row r="606" spans="6:13" x14ac:dyDescent="0.3">
      <c r="F606" s="7">
        <v>44344</v>
      </c>
      <c r="G606" s="8" t="s">
        <v>15</v>
      </c>
      <c r="H606" s="8" t="s">
        <v>13</v>
      </c>
      <c r="I606" s="8" t="s">
        <v>14</v>
      </c>
      <c r="J606" s="8" t="s">
        <v>11</v>
      </c>
      <c r="K606" s="9">
        <v>7</v>
      </c>
      <c r="L606" s="9">
        <v>315</v>
      </c>
      <c r="M606" s="9">
        <f t="shared" si="9"/>
        <v>2205</v>
      </c>
    </row>
    <row r="607" spans="6:13" x14ac:dyDescent="0.3">
      <c r="F607" s="7">
        <v>44344</v>
      </c>
      <c r="G607" s="8" t="s">
        <v>16</v>
      </c>
      <c r="H607" s="8" t="s">
        <v>9</v>
      </c>
      <c r="I607" s="8" t="s">
        <v>10</v>
      </c>
      <c r="J607" s="8" t="s">
        <v>11</v>
      </c>
      <c r="K607" s="9">
        <v>6</v>
      </c>
      <c r="L607" s="9">
        <v>1080</v>
      </c>
      <c r="M607" s="9">
        <f t="shared" si="9"/>
        <v>6480</v>
      </c>
    </row>
    <row r="608" spans="6:13" x14ac:dyDescent="0.3">
      <c r="F608" s="7">
        <v>44344</v>
      </c>
      <c r="G608" s="8" t="s">
        <v>17</v>
      </c>
      <c r="H608" s="8" t="s">
        <v>18</v>
      </c>
      <c r="I608" s="8" t="s">
        <v>10</v>
      </c>
      <c r="J608" s="8" t="s">
        <v>11</v>
      </c>
      <c r="K608" s="9">
        <v>4</v>
      </c>
      <c r="L608" s="9">
        <v>1575</v>
      </c>
      <c r="M608" s="9">
        <f t="shared" si="9"/>
        <v>6300</v>
      </c>
    </row>
    <row r="609" spans="6:13" x14ac:dyDescent="0.3">
      <c r="F609" s="7">
        <v>44344</v>
      </c>
      <c r="G609" s="8" t="s">
        <v>19</v>
      </c>
      <c r="H609" s="8" t="s">
        <v>18</v>
      </c>
      <c r="I609" s="8" t="s">
        <v>10</v>
      </c>
      <c r="J609" s="8" t="s">
        <v>11</v>
      </c>
      <c r="K609" s="9">
        <v>11</v>
      </c>
      <c r="L609" s="9">
        <v>790</v>
      </c>
      <c r="M609" s="9">
        <f t="shared" si="9"/>
        <v>8690</v>
      </c>
    </row>
    <row r="610" spans="6:13" x14ac:dyDescent="0.3">
      <c r="F610" s="7">
        <v>44344</v>
      </c>
      <c r="G610" s="8" t="s">
        <v>8</v>
      </c>
      <c r="H610" s="8" t="s">
        <v>9</v>
      </c>
      <c r="I610" s="8" t="s">
        <v>20</v>
      </c>
      <c r="J610" s="8" t="s">
        <v>21</v>
      </c>
      <c r="K610" s="9">
        <v>4</v>
      </c>
      <c r="L610" s="9">
        <v>2001</v>
      </c>
      <c r="M610" s="9">
        <f t="shared" si="9"/>
        <v>8004</v>
      </c>
    </row>
    <row r="611" spans="6:13" x14ac:dyDescent="0.3">
      <c r="F611" s="7">
        <v>44344</v>
      </c>
      <c r="G611" s="8" t="s">
        <v>12</v>
      </c>
      <c r="H611" s="8" t="s">
        <v>13</v>
      </c>
      <c r="I611" s="8" t="s">
        <v>22</v>
      </c>
      <c r="J611" s="8" t="s">
        <v>21</v>
      </c>
      <c r="K611" s="9">
        <v>56</v>
      </c>
      <c r="L611" s="9">
        <v>75</v>
      </c>
      <c r="M611" s="9">
        <f t="shared" si="9"/>
        <v>4200</v>
      </c>
    </row>
    <row r="612" spans="6:13" x14ac:dyDescent="0.3">
      <c r="F612" s="7">
        <v>44344</v>
      </c>
      <c r="G612" s="8" t="s">
        <v>15</v>
      </c>
      <c r="H612" s="8" t="s">
        <v>13</v>
      </c>
      <c r="I612" s="8" t="s">
        <v>22</v>
      </c>
      <c r="J612" s="8" t="s">
        <v>21</v>
      </c>
      <c r="K612" s="9">
        <v>5</v>
      </c>
      <c r="L612" s="9">
        <v>315</v>
      </c>
      <c r="M612" s="9">
        <f t="shared" si="9"/>
        <v>1575</v>
      </c>
    </row>
    <row r="613" spans="6:13" x14ac:dyDescent="0.3">
      <c r="F613" s="7">
        <v>44344</v>
      </c>
      <c r="G613" s="8" t="s">
        <v>16</v>
      </c>
      <c r="H613" s="8" t="s">
        <v>9</v>
      </c>
      <c r="I613" s="8" t="s">
        <v>20</v>
      </c>
      <c r="J613" s="8" t="s">
        <v>21</v>
      </c>
      <c r="K613" s="9">
        <v>5</v>
      </c>
      <c r="L613" s="9">
        <v>1080</v>
      </c>
      <c r="M613" s="9">
        <f t="shared" si="9"/>
        <v>5400</v>
      </c>
    </row>
    <row r="614" spans="6:13" x14ac:dyDescent="0.3">
      <c r="F614" s="7">
        <v>44344</v>
      </c>
      <c r="G614" s="8" t="s">
        <v>17</v>
      </c>
      <c r="H614" s="8" t="s">
        <v>18</v>
      </c>
      <c r="I614" s="8" t="s">
        <v>20</v>
      </c>
      <c r="J614" s="8" t="s">
        <v>21</v>
      </c>
      <c r="K614" s="9">
        <v>6</v>
      </c>
      <c r="L614" s="9">
        <v>1575</v>
      </c>
      <c r="M614" s="9">
        <f t="shared" si="9"/>
        <v>9450</v>
      </c>
    </row>
    <row r="615" spans="6:13" x14ac:dyDescent="0.3">
      <c r="F615" s="7">
        <v>44344</v>
      </c>
      <c r="G615" s="8" t="s">
        <v>19</v>
      </c>
      <c r="H615" s="8" t="s">
        <v>18</v>
      </c>
      <c r="I615" s="8" t="s">
        <v>20</v>
      </c>
      <c r="J615" s="8" t="s">
        <v>21</v>
      </c>
      <c r="K615" s="9">
        <v>11</v>
      </c>
      <c r="L615" s="9">
        <v>790</v>
      </c>
      <c r="M615" s="9">
        <f t="shared" si="9"/>
        <v>8690</v>
      </c>
    </row>
    <row r="616" spans="6:13" x14ac:dyDescent="0.3">
      <c r="F616" s="7">
        <v>44344</v>
      </c>
      <c r="G616" s="8" t="s">
        <v>8</v>
      </c>
      <c r="H616" s="8" t="s">
        <v>9</v>
      </c>
      <c r="I616" s="8" t="s">
        <v>23</v>
      </c>
      <c r="J616" s="8" t="s">
        <v>24</v>
      </c>
      <c r="K616" s="9">
        <v>6</v>
      </c>
      <c r="L616" s="9">
        <v>2001</v>
      </c>
      <c r="M616" s="9">
        <f t="shared" si="9"/>
        <v>12006</v>
      </c>
    </row>
    <row r="617" spans="6:13" x14ac:dyDescent="0.3">
      <c r="F617" s="7">
        <v>44344</v>
      </c>
      <c r="G617" s="8" t="s">
        <v>12</v>
      </c>
      <c r="H617" s="8" t="s">
        <v>13</v>
      </c>
      <c r="I617" s="8" t="s">
        <v>25</v>
      </c>
      <c r="J617" s="8" t="s">
        <v>24</v>
      </c>
      <c r="K617" s="9">
        <v>43</v>
      </c>
      <c r="L617" s="9">
        <v>75</v>
      </c>
      <c r="M617" s="9">
        <f t="shared" si="9"/>
        <v>3225</v>
      </c>
    </row>
    <row r="618" spans="6:13" x14ac:dyDescent="0.3">
      <c r="F618" s="7">
        <v>44344</v>
      </c>
      <c r="G618" s="8" t="s">
        <v>15</v>
      </c>
      <c r="H618" s="8" t="s">
        <v>13</v>
      </c>
      <c r="I618" s="8" t="s">
        <v>25</v>
      </c>
      <c r="J618" s="8" t="s">
        <v>24</v>
      </c>
      <c r="K618" s="9">
        <v>7</v>
      </c>
      <c r="L618" s="9">
        <v>315</v>
      </c>
      <c r="M618" s="9">
        <f t="shared" si="9"/>
        <v>2205</v>
      </c>
    </row>
    <row r="619" spans="6:13" x14ac:dyDescent="0.3">
      <c r="F619" s="7">
        <v>44344</v>
      </c>
      <c r="G619" s="8" t="s">
        <v>16</v>
      </c>
      <c r="H619" s="8" t="s">
        <v>9</v>
      </c>
      <c r="I619" s="8" t="s">
        <v>23</v>
      </c>
      <c r="J619" s="8" t="s">
        <v>24</v>
      </c>
      <c r="K619" s="9">
        <v>5</v>
      </c>
      <c r="L619" s="9">
        <v>1080</v>
      </c>
      <c r="M619" s="9">
        <f t="shared" si="9"/>
        <v>5400</v>
      </c>
    </row>
    <row r="620" spans="6:13" x14ac:dyDescent="0.3">
      <c r="F620" s="7">
        <v>44344</v>
      </c>
      <c r="G620" s="8" t="s">
        <v>17</v>
      </c>
      <c r="H620" s="8" t="s">
        <v>18</v>
      </c>
      <c r="I620" s="8" t="s">
        <v>25</v>
      </c>
      <c r="J620" s="8" t="s">
        <v>24</v>
      </c>
      <c r="K620" s="9">
        <v>4</v>
      </c>
      <c r="L620" s="9">
        <v>1575</v>
      </c>
      <c r="M620" s="9">
        <f t="shared" si="9"/>
        <v>6300</v>
      </c>
    </row>
    <row r="621" spans="6:13" x14ac:dyDescent="0.3">
      <c r="F621" s="7">
        <v>44344</v>
      </c>
      <c r="G621" s="8" t="s">
        <v>19</v>
      </c>
      <c r="H621" s="8" t="s">
        <v>18</v>
      </c>
      <c r="I621" s="8" t="s">
        <v>25</v>
      </c>
      <c r="J621" s="8" t="s">
        <v>24</v>
      </c>
      <c r="K621" s="9">
        <v>10</v>
      </c>
      <c r="L621" s="9">
        <v>790</v>
      </c>
      <c r="M621" s="9">
        <f t="shared" si="9"/>
        <v>7900</v>
      </c>
    </row>
    <row r="622" spans="6:13" x14ac:dyDescent="0.3">
      <c r="F622" s="7">
        <v>44344</v>
      </c>
      <c r="G622" s="8" t="s">
        <v>8</v>
      </c>
      <c r="H622" s="8" t="s">
        <v>9</v>
      </c>
      <c r="I622" s="8" t="s">
        <v>26</v>
      </c>
      <c r="J622" s="8" t="s">
        <v>27</v>
      </c>
      <c r="K622" s="9">
        <v>3</v>
      </c>
      <c r="L622" s="9">
        <v>2001</v>
      </c>
      <c r="M622" s="9">
        <f t="shared" si="9"/>
        <v>6003</v>
      </c>
    </row>
    <row r="623" spans="6:13" x14ac:dyDescent="0.3">
      <c r="F623" s="7">
        <v>44344</v>
      </c>
      <c r="G623" s="8" t="s">
        <v>12</v>
      </c>
      <c r="H623" s="8" t="s">
        <v>13</v>
      </c>
      <c r="I623" s="8" t="s">
        <v>28</v>
      </c>
      <c r="J623" s="8" t="s">
        <v>27</v>
      </c>
      <c r="K623" s="9">
        <v>53</v>
      </c>
      <c r="L623" s="9">
        <v>75</v>
      </c>
      <c r="M623" s="9">
        <f t="shared" si="9"/>
        <v>3975</v>
      </c>
    </row>
    <row r="624" spans="6:13" x14ac:dyDescent="0.3">
      <c r="F624" s="7">
        <v>44344</v>
      </c>
      <c r="G624" s="8" t="s">
        <v>15</v>
      </c>
      <c r="H624" s="8" t="s">
        <v>13</v>
      </c>
      <c r="I624" s="8" t="s">
        <v>28</v>
      </c>
      <c r="J624" s="8" t="s">
        <v>27</v>
      </c>
      <c r="K624" s="9">
        <v>6</v>
      </c>
      <c r="L624" s="9">
        <v>315</v>
      </c>
      <c r="M624" s="9">
        <f t="shared" si="9"/>
        <v>1890</v>
      </c>
    </row>
    <row r="625" spans="6:13" x14ac:dyDescent="0.3">
      <c r="F625" s="7">
        <v>44344</v>
      </c>
      <c r="G625" s="8" t="s">
        <v>16</v>
      </c>
      <c r="H625" s="8" t="s">
        <v>9</v>
      </c>
      <c r="I625" s="8" t="s">
        <v>26</v>
      </c>
      <c r="J625" s="8" t="s">
        <v>27</v>
      </c>
      <c r="K625" s="9">
        <v>6</v>
      </c>
      <c r="L625" s="9">
        <v>1080</v>
      </c>
      <c r="M625" s="9">
        <f t="shared" si="9"/>
        <v>6480</v>
      </c>
    </row>
    <row r="626" spans="6:13" x14ac:dyDescent="0.3">
      <c r="F626" s="7">
        <v>44344</v>
      </c>
      <c r="G626" s="8" t="s">
        <v>17</v>
      </c>
      <c r="H626" s="8" t="s">
        <v>18</v>
      </c>
      <c r="I626" s="8" t="s">
        <v>28</v>
      </c>
      <c r="J626" s="8" t="s">
        <v>27</v>
      </c>
      <c r="K626" s="9">
        <v>4</v>
      </c>
      <c r="L626" s="9">
        <v>1575</v>
      </c>
      <c r="M626" s="9">
        <f t="shared" si="9"/>
        <v>6300</v>
      </c>
    </row>
    <row r="627" spans="6:13" x14ac:dyDescent="0.3">
      <c r="F627" s="7">
        <v>44344</v>
      </c>
      <c r="G627" s="8" t="s">
        <v>19</v>
      </c>
      <c r="H627" s="8" t="s">
        <v>18</v>
      </c>
      <c r="I627" s="8" t="s">
        <v>28</v>
      </c>
      <c r="J627" s="8" t="s">
        <v>27</v>
      </c>
      <c r="K627" s="9">
        <v>8</v>
      </c>
      <c r="L627" s="9">
        <v>790</v>
      </c>
      <c r="M627" s="9">
        <f t="shared" si="9"/>
        <v>6320</v>
      </c>
    </row>
    <row r="628" spans="6:13" x14ac:dyDescent="0.3">
      <c r="F628" s="7">
        <v>44344</v>
      </c>
      <c r="G628" s="8" t="s">
        <v>8</v>
      </c>
      <c r="H628" s="8" t="s">
        <v>9</v>
      </c>
      <c r="I628" s="8" t="s">
        <v>29</v>
      </c>
      <c r="J628" s="8" t="s">
        <v>30</v>
      </c>
      <c r="K628" s="9">
        <v>6</v>
      </c>
      <c r="L628" s="9">
        <v>2001</v>
      </c>
      <c r="M628" s="9">
        <f t="shared" si="9"/>
        <v>12006</v>
      </c>
    </row>
    <row r="629" spans="6:13" x14ac:dyDescent="0.3">
      <c r="F629" s="7">
        <v>44344</v>
      </c>
      <c r="G629" s="8" t="s">
        <v>12</v>
      </c>
      <c r="H629" s="8" t="s">
        <v>13</v>
      </c>
      <c r="I629" s="8" t="s">
        <v>31</v>
      </c>
      <c r="J629" s="8" t="s">
        <v>30</v>
      </c>
      <c r="K629" s="9">
        <v>48</v>
      </c>
      <c r="L629" s="9">
        <v>75</v>
      </c>
      <c r="M629" s="9">
        <f t="shared" si="9"/>
        <v>3600</v>
      </c>
    </row>
    <row r="630" spans="6:13" x14ac:dyDescent="0.3">
      <c r="F630" s="7">
        <v>44344</v>
      </c>
      <c r="G630" s="8" t="s">
        <v>15</v>
      </c>
      <c r="H630" s="8" t="s">
        <v>13</v>
      </c>
      <c r="I630" s="8" t="s">
        <v>31</v>
      </c>
      <c r="J630" s="8" t="s">
        <v>30</v>
      </c>
      <c r="K630" s="9">
        <v>11</v>
      </c>
      <c r="L630" s="9">
        <v>315</v>
      </c>
      <c r="M630" s="9">
        <f t="shared" si="9"/>
        <v>3465</v>
      </c>
    </row>
    <row r="631" spans="6:13" x14ac:dyDescent="0.3">
      <c r="F631" s="7">
        <v>44344</v>
      </c>
      <c r="G631" s="8" t="s">
        <v>16</v>
      </c>
      <c r="H631" s="8" t="s">
        <v>9</v>
      </c>
      <c r="I631" s="8" t="s">
        <v>29</v>
      </c>
      <c r="J631" s="8" t="s">
        <v>30</v>
      </c>
      <c r="K631" s="9">
        <v>4</v>
      </c>
      <c r="L631" s="9">
        <v>1080</v>
      </c>
      <c r="M631" s="9">
        <f t="shared" si="9"/>
        <v>4320</v>
      </c>
    </row>
    <row r="632" spans="6:13" x14ac:dyDescent="0.3">
      <c r="F632" s="7">
        <v>44344</v>
      </c>
      <c r="G632" s="8" t="s">
        <v>17</v>
      </c>
      <c r="H632" s="8" t="s">
        <v>18</v>
      </c>
      <c r="I632" s="8" t="s">
        <v>29</v>
      </c>
      <c r="J632" s="8" t="s">
        <v>30</v>
      </c>
      <c r="K632" s="9">
        <v>2</v>
      </c>
      <c r="L632" s="9">
        <v>1575</v>
      </c>
      <c r="M632" s="9">
        <f t="shared" si="9"/>
        <v>3150</v>
      </c>
    </row>
    <row r="633" spans="6:13" x14ac:dyDescent="0.3">
      <c r="F633" s="7">
        <v>44344</v>
      </c>
      <c r="G633" s="8" t="s">
        <v>19</v>
      </c>
      <c r="H633" s="8" t="s">
        <v>18</v>
      </c>
      <c r="I633" s="8" t="s">
        <v>29</v>
      </c>
      <c r="J633" s="8" t="s">
        <v>30</v>
      </c>
      <c r="K633" s="9">
        <v>6</v>
      </c>
      <c r="L633" s="9">
        <v>790</v>
      </c>
      <c r="M633" s="9">
        <f t="shared" si="9"/>
        <v>4740</v>
      </c>
    </row>
    <row r="634" spans="6:13" x14ac:dyDescent="0.3">
      <c r="F634" s="7">
        <v>44351</v>
      </c>
      <c r="G634" s="8" t="s">
        <v>8</v>
      </c>
      <c r="H634" s="8" t="s">
        <v>9</v>
      </c>
      <c r="I634" s="8" t="s">
        <v>10</v>
      </c>
      <c r="J634" s="8" t="s">
        <v>11</v>
      </c>
      <c r="K634" s="9">
        <v>3</v>
      </c>
      <c r="L634" s="9">
        <v>2001</v>
      </c>
      <c r="M634" s="9">
        <f t="shared" si="9"/>
        <v>6003</v>
      </c>
    </row>
    <row r="635" spans="6:13" x14ac:dyDescent="0.3">
      <c r="F635" s="7">
        <v>44351</v>
      </c>
      <c r="G635" s="8" t="s">
        <v>12</v>
      </c>
      <c r="H635" s="8" t="s">
        <v>13</v>
      </c>
      <c r="I635" s="8" t="s">
        <v>14</v>
      </c>
      <c r="J635" s="8" t="s">
        <v>11</v>
      </c>
      <c r="K635" s="9">
        <v>56</v>
      </c>
      <c r="L635" s="9">
        <v>75</v>
      </c>
      <c r="M635" s="9">
        <f t="shared" si="9"/>
        <v>4200</v>
      </c>
    </row>
    <row r="636" spans="6:13" x14ac:dyDescent="0.3">
      <c r="F636" s="7">
        <v>44351</v>
      </c>
      <c r="G636" s="8" t="s">
        <v>15</v>
      </c>
      <c r="H636" s="8" t="s">
        <v>13</v>
      </c>
      <c r="I636" s="8" t="s">
        <v>14</v>
      </c>
      <c r="J636" s="8" t="s">
        <v>11</v>
      </c>
      <c r="K636" s="9">
        <v>6</v>
      </c>
      <c r="L636" s="9">
        <v>315</v>
      </c>
      <c r="M636" s="9">
        <f t="shared" si="9"/>
        <v>1890</v>
      </c>
    </row>
    <row r="637" spans="6:13" x14ac:dyDescent="0.3">
      <c r="F637" s="7">
        <v>44351</v>
      </c>
      <c r="G637" s="8" t="s">
        <v>16</v>
      </c>
      <c r="H637" s="8" t="s">
        <v>9</v>
      </c>
      <c r="I637" s="8" t="s">
        <v>10</v>
      </c>
      <c r="J637" s="8" t="s">
        <v>11</v>
      </c>
      <c r="K637" s="9">
        <v>3</v>
      </c>
      <c r="L637" s="9">
        <v>1080</v>
      </c>
      <c r="M637" s="9">
        <f t="shared" si="9"/>
        <v>3240</v>
      </c>
    </row>
    <row r="638" spans="6:13" x14ac:dyDescent="0.3">
      <c r="F638" s="7">
        <v>44351</v>
      </c>
      <c r="G638" s="8" t="s">
        <v>17</v>
      </c>
      <c r="H638" s="8" t="s">
        <v>18</v>
      </c>
      <c r="I638" s="8" t="s">
        <v>10</v>
      </c>
      <c r="J638" s="8" t="s">
        <v>11</v>
      </c>
      <c r="K638" s="9">
        <v>4</v>
      </c>
      <c r="L638" s="9">
        <v>1575</v>
      </c>
      <c r="M638" s="9">
        <f t="shared" si="9"/>
        <v>6300</v>
      </c>
    </row>
    <row r="639" spans="6:13" x14ac:dyDescent="0.3">
      <c r="F639" s="7">
        <v>44351</v>
      </c>
      <c r="G639" s="8" t="s">
        <v>19</v>
      </c>
      <c r="H639" s="8" t="s">
        <v>18</v>
      </c>
      <c r="I639" s="8" t="s">
        <v>10</v>
      </c>
      <c r="J639" s="8" t="s">
        <v>11</v>
      </c>
      <c r="K639" s="9">
        <v>6</v>
      </c>
      <c r="L639" s="9">
        <v>790</v>
      </c>
      <c r="M639" s="9">
        <f t="shared" si="9"/>
        <v>4740</v>
      </c>
    </row>
    <row r="640" spans="6:13" x14ac:dyDescent="0.3">
      <c r="F640" s="7">
        <v>44351</v>
      </c>
      <c r="G640" s="8" t="s">
        <v>8</v>
      </c>
      <c r="H640" s="8" t="s">
        <v>9</v>
      </c>
      <c r="I640" s="8" t="s">
        <v>20</v>
      </c>
      <c r="J640" s="8" t="s">
        <v>21</v>
      </c>
      <c r="K640" s="9">
        <v>6</v>
      </c>
      <c r="L640" s="9">
        <v>2001</v>
      </c>
      <c r="M640" s="9">
        <f t="shared" si="9"/>
        <v>12006</v>
      </c>
    </row>
    <row r="641" spans="6:13" x14ac:dyDescent="0.3">
      <c r="F641" s="7">
        <v>44351</v>
      </c>
      <c r="G641" s="8" t="s">
        <v>12</v>
      </c>
      <c r="H641" s="8" t="s">
        <v>13</v>
      </c>
      <c r="I641" s="8" t="s">
        <v>22</v>
      </c>
      <c r="J641" s="8" t="s">
        <v>21</v>
      </c>
      <c r="K641" s="9">
        <v>31</v>
      </c>
      <c r="L641" s="9">
        <v>75</v>
      </c>
      <c r="M641" s="9">
        <f t="shared" si="9"/>
        <v>2325</v>
      </c>
    </row>
    <row r="642" spans="6:13" x14ac:dyDescent="0.3">
      <c r="F642" s="7">
        <v>44351</v>
      </c>
      <c r="G642" s="8" t="s">
        <v>15</v>
      </c>
      <c r="H642" s="8" t="s">
        <v>13</v>
      </c>
      <c r="I642" s="8" t="s">
        <v>22</v>
      </c>
      <c r="J642" s="8" t="s">
        <v>21</v>
      </c>
      <c r="K642" s="9">
        <v>12</v>
      </c>
      <c r="L642" s="9">
        <v>315</v>
      </c>
      <c r="M642" s="9">
        <f t="shared" si="9"/>
        <v>3780</v>
      </c>
    </row>
    <row r="643" spans="6:13" x14ac:dyDescent="0.3">
      <c r="F643" s="7">
        <v>44351</v>
      </c>
      <c r="G643" s="8" t="s">
        <v>16</v>
      </c>
      <c r="H643" s="8" t="s">
        <v>9</v>
      </c>
      <c r="I643" s="8" t="s">
        <v>20</v>
      </c>
      <c r="J643" s="8" t="s">
        <v>21</v>
      </c>
      <c r="K643" s="9">
        <v>4</v>
      </c>
      <c r="L643" s="9">
        <v>1080</v>
      </c>
      <c r="M643" s="9">
        <f t="shared" si="9"/>
        <v>4320</v>
      </c>
    </row>
    <row r="644" spans="6:13" x14ac:dyDescent="0.3">
      <c r="F644" s="7">
        <v>44351</v>
      </c>
      <c r="G644" s="8" t="s">
        <v>17</v>
      </c>
      <c r="H644" s="8" t="s">
        <v>18</v>
      </c>
      <c r="I644" s="8" t="s">
        <v>20</v>
      </c>
      <c r="J644" s="8" t="s">
        <v>21</v>
      </c>
      <c r="K644" s="9">
        <v>5</v>
      </c>
      <c r="L644" s="9">
        <v>1575</v>
      </c>
      <c r="M644" s="9">
        <f t="shared" ref="M644:M707" si="10">K644*L644</f>
        <v>7875</v>
      </c>
    </row>
    <row r="645" spans="6:13" x14ac:dyDescent="0.3">
      <c r="F645" s="7">
        <v>44351</v>
      </c>
      <c r="G645" s="8" t="s">
        <v>19</v>
      </c>
      <c r="H645" s="8" t="s">
        <v>18</v>
      </c>
      <c r="I645" s="8" t="s">
        <v>20</v>
      </c>
      <c r="J645" s="8" t="s">
        <v>21</v>
      </c>
      <c r="K645" s="9">
        <v>7</v>
      </c>
      <c r="L645" s="9">
        <v>790</v>
      </c>
      <c r="M645" s="9">
        <f t="shared" si="10"/>
        <v>5530</v>
      </c>
    </row>
    <row r="646" spans="6:13" x14ac:dyDescent="0.3">
      <c r="F646" s="7">
        <v>44351</v>
      </c>
      <c r="G646" s="8" t="s">
        <v>8</v>
      </c>
      <c r="H646" s="8" t="s">
        <v>9</v>
      </c>
      <c r="I646" s="8" t="s">
        <v>23</v>
      </c>
      <c r="J646" s="8" t="s">
        <v>24</v>
      </c>
      <c r="K646" s="9">
        <v>4</v>
      </c>
      <c r="L646" s="9">
        <v>2001</v>
      </c>
      <c r="M646" s="9">
        <f t="shared" si="10"/>
        <v>8004</v>
      </c>
    </row>
    <row r="647" spans="6:13" x14ac:dyDescent="0.3">
      <c r="F647" s="7">
        <v>44351</v>
      </c>
      <c r="G647" s="8" t="s">
        <v>12</v>
      </c>
      <c r="H647" s="8" t="s">
        <v>13</v>
      </c>
      <c r="I647" s="8" t="s">
        <v>25</v>
      </c>
      <c r="J647" s="8" t="s">
        <v>24</v>
      </c>
      <c r="K647" s="9">
        <v>32</v>
      </c>
      <c r="L647" s="9">
        <v>75</v>
      </c>
      <c r="M647" s="9">
        <f t="shared" si="10"/>
        <v>2400</v>
      </c>
    </row>
    <row r="648" spans="6:13" x14ac:dyDescent="0.3">
      <c r="F648" s="7">
        <v>44351</v>
      </c>
      <c r="G648" s="8" t="s">
        <v>15</v>
      </c>
      <c r="H648" s="8" t="s">
        <v>13</v>
      </c>
      <c r="I648" s="8" t="s">
        <v>25</v>
      </c>
      <c r="J648" s="8" t="s">
        <v>24</v>
      </c>
      <c r="K648" s="9">
        <v>6</v>
      </c>
      <c r="L648" s="9">
        <v>315</v>
      </c>
      <c r="M648" s="9">
        <f t="shared" si="10"/>
        <v>1890</v>
      </c>
    </row>
    <row r="649" spans="6:13" x14ac:dyDescent="0.3">
      <c r="F649" s="7">
        <v>44351</v>
      </c>
      <c r="G649" s="8" t="s">
        <v>16</v>
      </c>
      <c r="H649" s="8" t="s">
        <v>9</v>
      </c>
      <c r="I649" s="8" t="s">
        <v>23</v>
      </c>
      <c r="J649" s="8" t="s">
        <v>24</v>
      </c>
      <c r="K649" s="9">
        <v>3</v>
      </c>
      <c r="L649" s="9">
        <v>1080</v>
      </c>
      <c r="M649" s="9">
        <f t="shared" si="10"/>
        <v>3240</v>
      </c>
    </row>
    <row r="650" spans="6:13" x14ac:dyDescent="0.3">
      <c r="F650" s="7">
        <v>44351</v>
      </c>
      <c r="G650" s="8" t="s">
        <v>17</v>
      </c>
      <c r="H650" s="8" t="s">
        <v>18</v>
      </c>
      <c r="I650" s="8" t="s">
        <v>25</v>
      </c>
      <c r="J650" s="8" t="s">
        <v>24</v>
      </c>
      <c r="K650" s="9">
        <v>5</v>
      </c>
      <c r="L650" s="9">
        <v>1575</v>
      </c>
      <c r="M650" s="9">
        <f t="shared" si="10"/>
        <v>7875</v>
      </c>
    </row>
    <row r="651" spans="6:13" x14ac:dyDescent="0.3">
      <c r="F651" s="7">
        <v>44351</v>
      </c>
      <c r="G651" s="8" t="s">
        <v>19</v>
      </c>
      <c r="H651" s="8" t="s">
        <v>18</v>
      </c>
      <c r="I651" s="8" t="s">
        <v>25</v>
      </c>
      <c r="J651" s="8" t="s">
        <v>24</v>
      </c>
      <c r="K651" s="9">
        <v>11</v>
      </c>
      <c r="L651" s="9">
        <v>790</v>
      </c>
      <c r="M651" s="9">
        <f t="shared" si="10"/>
        <v>8690</v>
      </c>
    </row>
    <row r="652" spans="6:13" x14ac:dyDescent="0.3">
      <c r="F652" s="7">
        <v>44351</v>
      </c>
      <c r="G652" s="8" t="s">
        <v>8</v>
      </c>
      <c r="H652" s="8" t="s">
        <v>9</v>
      </c>
      <c r="I652" s="8" t="s">
        <v>26</v>
      </c>
      <c r="J652" s="8" t="s">
        <v>27</v>
      </c>
      <c r="K652" s="9">
        <v>6</v>
      </c>
      <c r="L652" s="9">
        <v>2001</v>
      </c>
      <c r="M652" s="9">
        <f t="shared" si="10"/>
        <v>12006</v>
      </c>
    </row>
    <row r="653" spans="6:13" x14ac:dyDescent="0.3">
      <c r="F653" s="7">
        <v>44351</v>
      </c>
      <c r="G653" s="8" t="s">
        <v>12</v>
      </c>
      <c r="H653" s="8" t="s">
        <v>13</v>
      </c>
      <c r="I653" s="8" t="s">
        <v>28</v>
      </c>
      <c r="J653" s="8" t="s">
        <v>27</v>
      </c>
      <c r="K653" s="9">
        <v>39</v>
      </c>
      <c r="L653" s="9">
        <v>75</v>
      </c>
      <c r="M653" s="9">
        <f t="shared" si="10"/>
        <v>2925</v>
      </c>
    </row>
    <row r="654" spans="6:13" x14ac:dyDescent="0.3">
      <c r="F654" s="7">
        <v>44351</v>
      </c>
      <c r="G654" s="8" t="s">
        <v>15</v>
      </c>
      <c r="H654" s="8" t="s">
        <v>13</v>
      </c>
      <c r="I654" s="8" t="s">
        <v>28</v>
      </c>
      <c r="J654" s="8" t="s">
        <v>27</v>
      </c>
      <c r="K654" s="9">
        <v>13</v>
      </c>
      <c r="L654" s="9">
        <v>315</v>
      </c>
      <c r="M654" s="9">
        <f t="shared" si="10"/>
        <v>4095</v>
      </c>
    </row>
    <row r="655" spans="6:13" x14ac:dyDescent="0.3">
      <c r="F655" s="7">
        <v>44351</v>
      </c>
      <c r="G655" s="8" t="s">
        <v>16</v>
      </c>
      <c r="H655" s="8" t="s">
        <v>9</v>
      </c>
      <c r="I655" s="8" t="s">
        <v>26</v>
      </c>
      <c r="J655" s="8" t="s">
        <v>27</v>
      </c>
      <c r="K655" s="9">
        <v>4</v>
      </c>
      <c r="L655" s="9">
        <v>1080</v>
      </c>
      <c r="M655" s="9">
        <f t="shared" si="10"/>
        <v>4320</v>
      </c>
    </row>
    <row r="656" spans="6:13" x14ac:dyDescent="0.3">
      <c r="F656" s="7">
        <v>44351</v>
      </c>
      <c r="G656" s="8" t="s">
        <v>17</v>
      </c>
      <c r="H656" s="8" t="s">
        <v>18</v>
      </c>
      <c r="I656" s="8" t="s">
        <v>28</v>
      </c>
      <c r="J656" s="8" t="s">
        <v>27</v>
      </c>
      <c r="K656" s="9">
        <v>5</v>
      </c>
      <c r="L656" s="9">
        <v>1575</v>
      </c>
      <c r="M656" s="9">
        <f t="shared" si="10"/>
        <v>7875</v>
      </c>
    </row>
    <row r="657" spans="6:13" x14ac:dyDescent="0.3">
      <c r="F657" s="7">
        <v>44351</v>
      </c>
      <c r="G657" s="8" t="s">
        <v>19</v>
      </c>
      <c r="H657" s="8" t="s">
        <v>18</v>
      </c>
      <c r="I657" s="8" t="s">
        <v>28</v>
      </c>
      <c r="J657" s="8" t="s">
        <v>27</v>
      </c>
      <c r="K657" s="9">
        <v>6</v>
      </c>
      <c r="L657" s="9">
        <v>790</v>
      </c>
      <c r="M657" s="9">
        <f t="shared" si="10"/>
        <v>4740</v>
      </c>
    </row>
    <row r="658" spans="6:13" x14ac:dyDescent="0.3">
      <c r="F658" s="7">
        <v>44351</v>
      </c>
      <c r="G658" s="8" t="s">
        <v>8</v>
      </c>
      <c r="H658" s="8" t="s">
        <v>9</v>
      </c>
      <c r="I658" s="8" t="s">
        <v>29</v>
      </c>
      <c r="J658" s="8" t="s">
        <v>30</v>
      </c>
      <c r="K658" s="9">
        <v>4</v>
      </c>
      <c r="L658" s="9">
        <v>2001</v>
      </c>
      <c r="M658" s="9">
        <f t="shared" si="10"/>
        <v>8004</v>
      </c>
    </row>
    <row r="659" spans="6:13" x14ac:dyDescent="0.3">
      <c r="F659" s="7">
        <v>44351</v>
      </c>
      <c r="G659" s="8" t="s">
        <v>12</v>
      </c>
      <c r="H659" s="8" t="s">
        <v>13</v>
      </c>
      <c r="I659" s="8" t="s">
        <v>31</v>
      </c>
      <c r="J659" s="8" t="s">
        <v>30</v>
      </c>
      <c r="K659" s="9">
        <v>54</v>
      </c>
      <c r="L659" s="9">
        <v>75</v>
      </c>
      <c r="M659" s="9">
        <f t="shared" si="10"/>
        <v>4050</v>
      </c>
    </row>
    <row r="660" spans="6:13" x14ac:dyDescent="0.3">
      <c r="F660" s="7">
        <v>44351</v>
      </c>
      <c r="G660" s="8" t="s">
        <v>15</v>
      </c>
      <c r="H660" s="8" t="s">
        <v>13</v>
      </c>
      <c r="I660" s="8" t="s">
        <v>31</v>
      </c>
      <c r="J660" s="8" t="s">
        <v>30</v>
      </c>
      <c r="K660" s="9">
        <v>5</v>
      </c>
      <c r="L660" s="9">
        <v>315</v>
      </c>
      <c r="M660" s="9">
        <f t="shared" si="10"/>
        <v>1575</v>
      </c>
    </row>
    <row r="661" spans="6:13" x14ac:dyDescent="0.3">
      <c r="F661" s="7">
        <v>44351</v>
      </c>
      <c r="G661" s="8" t="s">
        <v>16</v>
      </c>
      <c r="H661" s="8" t="s">
        <v>9</v>
      </c>
      <c r="I661" s="8" t="s">
        <v>29</v>
      </c>
      <c r="J661" s="8" t="s">
        <v>30</v>
      </c>
      <c r="K661" s="9">
        <v>5</v>
      </c>
      <c r="L661" s="9">
        <v>1080</v>
      </c>
      <c r="M661" s="9">
        <f t="shared" si="10"/>
        <v>5400</v>
      </c>
    </row>
    <row r="662" spans="6:13" x14ac:dyDescent="0.3">
      <c r="F662" s="7">
        <v>44351</v>
      </c>
      <c r="G662" s="8" t="s">
        <v>17</v>
      </c>
      <c r="H662" s="8" t="s">
        <v>18</v>
      </c>
      <c r="I662" s="8" t="s">
        <v>29</v>
      </c>
      <c r="J662" s="8" t="s">
        <v>30</v>
      </c>
      <c r="K662" s="9">
        <v>2</v>
      </c>
      <c r="L662" s="9">
        <v>1575</v>
      </c>
      <c r="M662" s="9">
        <f t="shared" si="10"/>
        <v>3150</v>
      </c>
    </row>
    <row r="663" spans="6:13" x14ac:dyDescent="0.3">
      <c r="F663" s="7">
        <v>44351</v>
      </c>
      <c r="G663" s="8" t="s">
        <v>19</v>
      </c>
      <c r="H663" s="8" t="s">
        <v>18</v>
      </c>
      <c r="I663" s="8" t="s">
        <v>29</v>
      </c>
      <c r="J663" s="8" t="s">
        <v>30</v>
      </c>
      <c r="K663" s="9">
        <v>6</v>
      </c>
      <c r="L663" s="9">
        <v>790</v>
      </c>
      <c r="M663" s="9">
        <f t="shared" si="10"/>
        <v>4740</v>
      </c>
    </row>
    <row r="664" spans="6:13" x14ac:dyDescent="0.3">
      <c r="F664" s="7">
        <v>44358</v>
      </c>
      <c r="G664" s="8" t="s">
        <v>8</v>
      </c>
      <c r="H664" s="8" t="s">
        <v>9</v>
      </c>
      <c r="I664" s="8" t="s">
        <v>10</v>
      </c>
      <c r="J664" s="8" t="s">
        <v>11</v>
      </c>
      <c r="K664" s="9">
        <v>4</v>
      </c>
      <c r="L664" s="9">
        <v>2001</v>
      </c>
      <c r="M664" s="9">
        <f t="shared" si="10"/>
        <v>8004</v>
      </c>
    </row>
    <row r="665" spans="6:13" x14ac:dyDescent="0.3">
      <c r="F665" s="7">
        <v>44358</v>
      </c>
      <c r="G665" s="8" t="s">
        <v>12</v>
      </c>
      <c r="H665" s="8" t="s">
        <v>13</v>
      </c>
      <c r="I665" s="8" t="s">
        <v>14</v>
      </c>
      <c r="J665" s="8" t="s">
        <v>11</v>
      </c>
      <c r="K665" s="9">
        <v>42</v>
      </c>
      <c r="L665" s="9">
        <v>75</v>
      </c>
      <c r="M665" s="9">
        <f t="shared" si="10"/>
        <v>3150</v>
      </c>
    </row>
    <row r="666" spans="6:13" x14ac:dyDescent="0.3">
      <c r="F666" s="7">
        <v>44358</v>
      </c>
      <c r="G666" s="8" t="s">
        <v>15</v>
      </c>
      <c r="H666" s="8" t="s">
        <v>13</v>
      </c>
      <c r="I666" s="8" t="s">
        <v>14</v>
      </c>
      <c r="J666" s="8" t="s">
        <v>11</v>
      </c>
      <c r="K666" s="9">
        <v>9</v>
      </c>
      <c r="L666" s="9">
        <v>315</v>
      </c>
      <c r="M666" s="9">
        <f t="shared" si="10"/>
        <v>2835</v>
      </c>
    </row>
    <row r="667" spans="6:13" x14ac:dyDescent="0.3">
      <c r="F667" s="7">
        <v>44358</v>
      </c>
      <c r="G667" s="8" t="s">
        <v>16</v>
      </c>
      <c r="H667" s="8" t="s">
        <v>9</v>
      </c>
      <c r="I667" s="8" t="s">
        <v>10</v>
      </c>
      <c r="J667" s="8" t="s">
        <v>11</v>
      </c>
      <c r="K667" s="9">
        <v>4</v>
      </c>
      <c r="L667" s="9">
        <v>1080</v>
      </c>
      <c r="M667" s="9">
        <f t="shared" si="10"/>
        <v>4320</v>
      </c>
    </row>
    <row r="668" spans="6:13" x14ac:dyDescent="0.3">
      <c r="F668" s="7">
        <v>44358</v>
      </c>
      <c r="G668" s="8" t="s">
        <v>17</v>
      </c>
      <c r="H668" s="8" t="s">
        <v>18</v>
      </c>
      <c r="I668" s="8" t="s">
        <v>10</v>
      </c>
      <c r="J668" s="8" t="s">
        <v>11</v>
      </c>
      <c r="K668" s="9">
        <v>6</v>
      </c>
      <c r="L668" s="9">
        <v>1575</v>
      </c>
      <c r="M668" s="9">
        <f t="shared" si="10"/>
        <v>9450</v>
      </c>
    </row>
    <row r="669" spans="6:13" x14ac:dyDescent="0.3">
      <c r="F669" s="7">
        <v>44358</v>
      </c>
      <c r="G669" s="8" t="s">
        <v>19</v>
      </c>
      <c r="H669" s="8" t="s">
        <v>18</v>
      </c>
      <c r="I669" s="8" t="s">
        <v>10</v>
      </c>
      <c r="J669" s="8" t="s">
        <v>11</v>
      </c>
      <c r="K669" s="9">
        <v>7</v>
      </c>
      <c r="L669" s="9">
        <v>790</v>
      </c>
      <c r="M669" s="9">
        <f t="shared" si="10"/>
        <v>5530</v>
      </c>
    </row>
    <row r="670" spans="6:13" x14ac:dyDescent="0.3">
      <c r="F670" s="7">
        <v>44358</v>
      </c>
      <c r="G670" s="8" t="s">
        <v>8</v>
      </c>
      <c r="H670" s="8" t="s">
        <v>9</v>
      </c>
      <c r="I670" s="8" t="s">
        <v>20</v>
      </c>
      <c r="J670" s="8" t="s">
        <v>21</v>
      </c>
      <c r="K670" s="9">
        <v>6</v>
      </c>
      <c r="L670" s="9">
        <v>2001</v>
      </c>
      <c r="M670" s="9">
        <f t="shared" si="10"/>
        <v>12006</v>
      </c>
    </row>
    <row r="671" spans="6:13" x14ac:dyDescent="0.3">
      <c r="F671" s="7">
        <v>44358</v>
      </c>
      <c r="G671" s="8" t="s">
        <v>12</v>
      </c>
      <c r="H671" s="8" t="s">
        <v>13</v>
      </c>
      <c r="I671" s="8" t="s">
        <v>22</v>
      </c>
      <c r="J671" s="8" t="s">
        <v>21</v>
      </c>
      <c r="K671" s="9">
        <v>46</v>
      </c>
      <c r="L671" s="9">
        <v>75</v>
      </c>
      <c r="M671" s="9">
        <f t="shared" si="10"/>
        <v>3450</v>
      </c>
    </row>
    <row r="672" spans="6:13" x14ac:dyDescent="0.3">
      <c r="F672" s="7">
        <v>44358</v>
      </c>
      <c r="G672" s="8" t="s">
        <v>15</v>
      </c>
      <c r="H672" s="8" t="s">
        <v>13</v>
      </c>
      <c r="I672" s="8" t="s">
        <v>22</v>
      </c>
      <c r="J672" s="8" t="s">
        <v>21</v>
      </c>
      <c r="K672" s="9">
        <v>7</v>
      </c>
      <c r="L672" s="9">
        <v>315</v>
      </c>
      <c r="M672" s="9">
        <f t="shared" si="10"/>
        <v>2205</v>
      </c>
    </row>
    <row r="673" spans="6:13" x14ac:dyDescent="0.3">
      <c r="F673" s="7">
        <v>44358</v>
      </c>
      <c r="G673" s="8" t="s">
        <v>16</v>
      </c>
      <c r="H673" s="8" t="s">
        <v>9</v>
      </c>
      <c r="I673" s="8" t="s">
        <v>20</v>
      </c>
      <c r="J673" s="8" t="s">
        <v>21</v>
      </c>
      <c r="K673" s="9">
        <v>5</v>
      </c>
      <c r="L673" s="9">
        <v>1080</v>
      </c>
      <c r="M673" s="9">
        <f t="shared" si="10"/>
        <v>5400</v>
      </c>
    </row>
    <row r="674" spans="6:13" x14ac:dyDescent="0.3">
      <c r="F674" s="7">
        <v>44358</v>
      </c>
      <c r="G674" s="8" t="s">
        <v>17</v>
      </c>
      <c r="H674" s="8" t="s">
        <v>18</v>
      </c>
      <c r="I674" s="8" t="s">
        <v>20</v>
      </c>
      <c r="J674" s="8" t="s">
        <v>21</v>
      </c>
      <c r="K674" s="9">
        <v>4</v>
      </c>
      <c r="L674" s="9">
        <v>1575</v>
      </c>
      <c r="M674" s="9">
        <f t="shared" si="10"/>
        <v>6300</v>
      </c>
    </row>
    <row r="675" spans="6:13" x14ac:dyDescent="0.3">
      <c r="F675" s="7">
        <v>44358</v>
      </c>
      <c r="G675" s="8" t="s">
        <v>19</v>
      </c>
      <c r="H675" s="8" t="s">
        <v>18</v>
      </c>
      <c r="I675" s="8" t="s">
        <v>20</v>
      </c>
      <c r="J675" s="8" t="s">
        <v>21</v>
      </c>
      <c r="K675" s="9">
        <v>8</v>
      </c>
      <c r="L675" s="9">
        <v>790</v>
      </c>
      <c r="M675" s="9">
        <f t="shared" si="10"/>
        <v>6320</v>
      </c>
    </row>
    <row r="676" spans="6:13" x14ac:dyDescent="0.3">
      <c r="F676" s="7">
        <v>44358</v>
      </c>
      <c r="G676" s="8" t="s">
        <v>8</v>
      </c>
      <c r="H676" s="8" t="s">
        <v>9</v>
      </c>
      <c r="I676" s="8" t="s">
        <v>23</v>
      </c>
      <c r="J676" s="8" t="s">
        <v>24</v>
      </c>
      <c r="K676" s="9">
        <v>5</v>
      </c>
      <c r="L676" s="9">
        <v>2001</v>
      </c>
      <c r="M676" s="9">
        <f t="shared" si="10"/>
        <v>10005</v>
      </c>
    </row>
    <row r="677" spans="6:13" x14ac:dyDescent="0.3">
      <c r="F677" s="7">
        <v>44358</v>
      </c>
      <c r="G677" s="8" t="s">
        <v>12</v>
      </c>
      <c r="H677" s="8" t="s">
        <v>13</v>
      </c>
      <c r="I677" s="8" t="s">
        <v>25</v>
      </c>
      <c r="J677" s="8" t="s">
        <v>24</v>
      </c>
      <c r="K677" s="9">
        <v>34</v>
      </c>
      <c r="L677" s="9">
        <v>75</v>
      </c>
      <c r="M677" s="9">
        <f t="shared" si="10"/>
        <v>2550</v>
      </c>
    </row>
    <row r="678" spans="6:13" x14ac:dyDescent="0.3">
      <c r="F678" s="7">
        <v>44358</v>
      </c>
      <c r="G678" s="8" t="s">
        <v>15</v>
      </c>
      <c r="H678" s="8" t="s">
        <v>13</v>
      </c>
      <c r="I678" s="8" t="s">
        <v>25</v>
      </c>
      <c r="J678" s="8" t="s">
        <v>24</v>
      </c>
      <c r="K678" s="9">
        <v>8</v>
      </c>
      <c r="L678" s="9">
        <v>315</v>
      </c>
      <c r="M678" s="9">
        <f t="shared" si="10"/>
        <v>2520</v>
      </c>
    </row>
    <row r="679" spans="6:13" x14ac:dyDescent="0.3">
      <c r="F679" s="7">
        <v>44358</v>
      </c>
      <c r="G679" s="8" t="s">
        <v>16</v>
      </c>
      <c r="H679" s="8" t="s">
        <v>9</v>
      </c>
      <c r="I679" s="8" t="s">
        <v>23</v>
      </c>
      <c r="J679" s="8" t="s">
        <v>24</v>
      </c>
      <c r="K679" s="9">
        <v>5</v>
      </c>
      <c r="L679" s="9">
        <v>1080</v>
      </c>
      <c r="M679" s="9">
        <f t="shared" si="10"/>
        <v>5400</v>
      </c>
    </row>
    <row r="680" spans="6:13" x14ac:dyDescent="0.3">
      <c r="F680" s="7">
        <v>44358</v>
      </c>
      <c r="G680" s="8" t="s">
        <v>17</v>
      </c>
      <c r="H680" s="8" t="s">
        <v>18</v>
      </c>
      <c r="I680" s="8" t="s">
        <v>25</v>
      </c>
      <c r="J680" s="8" t="s">
        <v>24</v>
      </c>
      <c r="K680" s="9">
        <v>4</v>
      </c>
      <c r="L680" s="9">
        <v>1575</v>
      </c>
      <c r="M680" s="9">
        <f t="shared" si="10"/>
        <v>6300</v>
      </c>
    </row>
    <row r="681" spans="6:13" x14ac:dyDescent="0.3">
      <c r="F681" s="7">
        <v>44358</v>
      </c>
      <c r="G681" s="8" t="s">
        <v>19</v>
      </c>
      <c r="H681" s="8" t="s">
        <v>18</v>
      </c>
      <c r="I681" s="8" t="s">
        <v>25</v>
      </c>
      <c r="J681" s="8" t="s">
        <v>24</v>
      </c>
      <c r="K681" s="9">
        <v>8</v>
      </c>
      <c r="L681" s="9">
        <v>790</v>
      </c>
      <c r="M681" s="9">
        <f t="shared" si="10"/>
        <v>6320</v>
      </c>
    </row>
    <row r="682" spans="6:13" x14ac:dyDescent="0.3">
      <c r="F682" s="7">
        <v>44358</v>
      </c>
      <c r="G682" s="8" t="s">
        <v>8</v>
      </c>
      <c r="H682" s="8" t="s">
        <v>9</v>
      </c>
      <c r="I682" s="8" t="s">
        <v>26</v>
      </c>
      <c r="J682" s="8" t="s">
        <v>27</v>
      </c>
      <c r="K682" s="9">
        <v>5</v>
      </c>
      <c r="L682" s="9">
        <v>2001</v>
      </c>
      <c r="M682" s="9">
        <f t="shared" si="10"/>
        <v>10005</v>
      </c>
    </row>
    <row r="683" spans="6:13" x14ac:dyDescent="0.3">
      <c r="F683" s="7">
        <v>44358</v>
      </c>
      <c r="G683" s="8" t="s">
        <v>12</v>
      </c>
      <c r="H683" s="8" t="s">
        <v>13</v>
      </c>
      <c r="I683" s="8" t="s">
        <v>28</v>
      </c>
      <c r="J683" s="8" t="s">
        <v>27</v>
      </c>
      <c r="K683" s="9">
        <v>54</v>
      </c>
      <c r="L683" s="9">
        <v>75</v>
      </c>
      <c r="M683" s="9">
        <f t="shared" si="10"/>
        <v>4050</v>
      </c>
    </row>
    <row r="684" spans="6:13" x14ac:dyDescent="0.3">
      <c r="F684" s="7">
        <v>44358</v>
      </c>
      <c r="G684" s="8" t="s">
        <v>15</v>
      </c>
      <c r="H684" s="8" t="s">
        <v>13</v>
      </c>
      <c r="I684" s="8" t="s">
        <v>28</v>
      </c>
      <c r="J684" s="8" t="s">
        <v>27</v>
      </c>
      <c r="K684" s="9">
        <v>12</v>
      </c>
      <c r="L684" s="9">
        <v>315</v>
      </c>
      <c r="M684" s="9">
        <f t="shared" si="10"/>
        <v>3780</v>
      </c>
    </row>
    <row r="685" spans="6:13" x14ac:dyDescent="0.3">
      <c r="F685" s="7">
        <v>44358</v>
      </c>
      <c r="G685" s="8" t="s">
        <v>16</v>
      </c>
      <c r="H685" s="8" t="s">
        <v>9</v>
      </c>
      <c r="I685" s="8" t="s">
        <v>26</v>
      </c>
      <c r="J685" s="8" t="s">
        <v>27</v>
      </c>
      <c r="K685" s="9">
        <v>2</v>
      </c>
      <c r="L685" s="9">
        <v>1080</v>
      </c>
      <c r="M685" s="9">
        <f t="shared" si="10"/>
        <v>2160</v>
      </c>
    </row>
    <row r="686" spans="6:13" x14ac:dyDescent="0.3">
      <c r="F686" s="7">
        <v>44358</v>
      </c>
      <c r="G686" s="8" t="s">
        <v>17</v>
      </c>
      <c r="H686" s="8" t="s">
        <v>18</v>
      </c>
      <c r="I686" s="8" t="s">
        <v>28</v>
      </c>
      <c r="J686" s="8" t="s">
        <v>27</v>
      </c>
      <c r="K686" s="9">
        <v>4</v>
      </c>
      <c r="L686" s="9">
        <v>1575</v>
      </c>
      <c r="M686" s="9">
        <f t="shared" si="10"/>
        <v>6300</v>
      </c>
    </row>
    <row r="687" spans="6:13" x14ac:dyDescent="0.3">
      <c r="F687" s="7">
        <v>44358</v>
      </c>
      <c r="G687" s="8" t="s">
        <v>19</v>
      </c>
      <c r="H687" s="8" t="s">
        <v>18</v>
      </c>
      <c r="I687" s="8" t="s">
        <v>28</v>
      </c>
      <c r="J687" s="8" t="s">
        <v>27</v>
      </c>
      <c r="K687" s="9">
        <v>9</v>
      </c>
      <c r="L687" s="9">
        <v>790</v>
      </c>
      <c r="M687" s="9">
        <f t="shared" si="10"/>
        <v>7110</v>
      </c>
    </row>
    <row r="688" spans="6:13" x14ac:dyDescent="0.3">
      <c r="F688" s="7">
        <v>44358</v>
      </c>
      <c r="G688" s="8" t="s">
        <v>8</v>
      </c>
      <c r="H688" s="8" t="s">
        <v>9</v>
      </c>
      <c r="I688" s="8" t="s">
        <v>29</v>
      </c>
      <c r="J688" s="8" t="s">
        <v>30</v>
      </c>
      <c r="K688" s="9">
        <v>6</v>
      </c>
      <c r="L688" s="9">
        <v>2001</v>
      </c>
      <c r="M688" s="9">
        <f t="shared" si="10"/>
        <v>12006</v>
      </c>
    </row>
    <row r="689" spans="6:13" x14ac:dyDescent="0.3">
      <c r="F689" s="7">
        <v>44358</v>
      </c>
      <c r="G689" s="8" t="s">
        <v>12</v>
      </c>
      <c r="H689" s="8" t="s">
        <v>13</v>
      </c>
      <c r="I689" s="8" t="s">
        <v>31</v>
      </c>
      <c r="J689" s="8" t="s">
        <v>30</v>
      </c>
      <c r="K689" s="9">
        <v>53</v>
      </c>
      <c r="L689" s="9">
        <v>75</v>
      </c>
      <c r="M689" s="9">
        <f t="shared" si="10"/>
        <v>3975</v>
      </c>
    </row>
    <row r="690" spans="6:13" x14ac:dyDescent="0.3">
      <c r="F690" s="7">
        <v>44358</v>
      </c>
      <c r="G690" s="8" t="s">
        <v>15</v>
      </c>
      <c r="H690" s="8" t="s">
        <v>13</v>
      </c>
      <c r="I690" s="8" t="s">
        <v>31</v>
      </c>
      <c r="J690" s="8" t="s">
        <v>30</v>
      </c>
      <c r="K690" s="9">
        <v>12</v>
      </c>
      <c r="L690" s="9">
        <v>315</v>
      </c>
      <c r="M690" s="9">
        <f t="shared" si="10"/>
        <v>3780</v>
      </c>
    </row>
    <row r="691" spans="6:13" x14ac:dyDescent="0.3">
      <c r="F691" s="7">
        <v>44358</v>
      </c>
      <c r="G691" s="8" t="s">
        <v>16</v>
      </c>
      <c r="H691" s="8" t="s">
        <v>9</v>
      </c>
      <c r="I691" s="8" t="s">
        <v>29</v>
      </c>
      <c r="J691" s="8" t="s">
        <v>30</v>
      </c>
      <c r="K691" s="9">
        <v>6</v>
      </c>
      <c r="L691" s="9">
        <v>1080</v>
      </c>
      <c r="M691" s="9">
        <f t="shared" si="10"/>
        <v>6480</v>
      </c>
    </row>
    <row r="692" spans="6:13" x14ac:dyDescent="0.3">
      <c r="F692" s="7">
        <v>44358</v>
      </c>
      <c r="G692" s="8" t="s">
        <v>17</v>
      </c>
      <c r="H692" s="8" t="s">
        <v>18</v>
      </c>
      <c r="I692" s="8" t="s">
        <v>29</v>
      </c>
      <c r="J692" s="8" t="s">
        <v>30</v>
      </c>
      <c r="K692" s="9">
        <v>5</v>
      </c>
      <c r="L692" s="9">
        <v>1575</v>
      </c>
      <c r="M692" s="9">
        <f t="shared" si="10"/>
        <v>7875</v>
      </c>
    </row>
    <row r="693" spans="6:13" x14ac:dyDescent="0.3">
      <c r="F693" s="7">
        <v>44358</v>
      </c>
      <c r="G693" s="8" t="s">
        <v>19</v>
      </c>
      <c r="H693" s="8" t="s">
        <v>18</v>
      </c>
      <c r="I693" s="8" t="s">
        <v>29</v>
      </c>
      <c r="J693" s="8" t="s">
        <v>30</v>
      </c>
      <c r="K693" s="9">
        <v>7</v>
      </c>
      <c r="L693" s="9">
        <v>790</v>
      </c>
      <c r="M693" s="9">
        <f t="shared" si="10"/>
        <v>5530</v>
      </c>
    </row>
    <row r="694" spans="6:13" x14ac:dyDescent="0.3">
      <c r="F694" s="7">
        <v>44365</v>
      </c>
      <c r="G694" s="8" t="s">
        <v>8</v>
      </c>
      <c r="H694" s="8" t="s">
        <v>9</v>
      </c>
      <c r="I694" s="8" t="s">
        <v>10</v>
      </c>
      <c r="J694" s="8" t="s">
        <v>11</v>
      </c>
      <c r="K694" s="9">
        <v>4</v>
      </c>
      <c r="L694" s="9">
        <v>2001</v>
      </c>
      <c r="M694" s="9">
        <f t="shared" si="10"/>
        <v>8004</v>
      </c>
    </row>
    <row r="695" spans="6:13" x14ac:dyDescent="0.3">
      <c r="F695" s="7">
        <v>44365</v>
      </c>
      <c r="G695" s="8" t="s">
        <v>12</v>
      </c>
      <c r="H695" s="8" t="s">
        <v>13</v>
      </c>
      <c r="I695" s="8" t="s">
        <v>14</v>
      </c>
      <c r="J695" s="8" t="s">
        <v>11</v>
      </c>
      <c r="K695" s="9">
        <v>49</v>
      </c>
      <c r="L695" s="9">
        <v>75</v>
      </c>
      <c r="M695" s="9">
        <f t="shared" si="10"/>
        <v>3675</v>
      </c>
    </row>
    <row r="696" spans="6:13" x14ac:dyDescent="0.3">
      <c r="F696" s="7">
        <v>44365</v>
      </c>
      <c r="G696" s="8" t="s">
        <v>15</v>
      </c>
      <c r="H696" s="8" t="s">
        <v>13</v>
      </c>
      <c r="I696" s="8" t="s">
        <v>14</v>
      </c>
      <c r="J696" s="8" t="s">
        <v>11</v>
      </c>
      <c r="K696" s="9">
        <v>7</v>
      </c>
      <c r="L696" s="9">
        <v>315</v>
      </c>
      <c r="M696" s="9">
        <f t="shared" si="10"/>
        <v>2205</v>
      </c>
    </row>
    <row r="697" spans="6:13" x14ac:dyDescent="0.3">
      <c r="F697" s="7">
        <v>44365</v>
      </c>
      <c r="G697" s="8" t="s">
        <v>16</v>
      </c>
      <c r="H697" s="8" t="s">
        <v>9</v>
      </c>
      <c r="I697" s="8" t="s">
        <v>10</v>
      </c>
      <c r="J697" s="8" t="s">
        <v>11</v>
      </c>
      <c r="K697" s="9">
        <v>2</v>
      </c>
      <c r="L697" s="9">
        <v>1080</v>
      </c>
      <c r="M697" s="9">
        <f t="shared" si="10"/>
        <v>2160</v>
      </c>
    </row>
    <row r="698" spans="6:13" x14ac:dyDescent="0.3">
      <c r="F698" s="7">
        <v>44365</v>
      </c>
      <c r="G698" s="8" t="s">
        <v>17</v>
      </c>
      <c r="H698" s="8" t="s">
        <v>18</v>
      </c>
      <c r="I698" s="8" t="s">
        <v>10</v>
      </c>
      <c r="J698" s="8" t="s">
        <v>11</v>
      </c>
      <c r="K698" s="9">
        <v>6</v>
      </c>
      <c r="L698" s="9">
        <v>1575</v>
      </c>
      <c r="M698" s="9">
        <f t="shared" si="10"/>
        <v>9450</v>
      </c>
    </row>
    <row r="699" spans="6:13" x14ac:dyDescent="0.3">
      <c r="F699" s="7">
        <v>44365</v>
      </c>
      <c r="G699" s="8" t="s">
        <v>19</v>
      </c>
      <c r="H699" s="8" t="s">
        <v>18</v>
      </c>
      <c r="I699" s="8" t="s">
        <v>10</v>
      </c>
      <c r="J699" s="8" t="s">
        <v>11</v>
      </c>
      <c r="K699" s="9">
        <v>7</v>
      </c>
      <c r="L699" s="9">
        <v>790</v>
      </c>
      <c r="M699" s="9">
        <f t="shared" si="10"/>
        <v>5530</v>
      </c>
    </row>
    <row r="700" spans="6:13" x14ac:dyDescent="0.3">
      <c r="F700" s="7">
        <v>44365</v>
      </c>
      <c r="G700" s="8" t="s">
        <v>8</v>
      </c>
      <c r="H700" s="8" t="s">
        <v>9</v>
      </c>
      <c r="I700" s="8" t="s">
        <v>20</v>
      </c>
      <c r="J700" s="8" t="s">
        <v>21</v>
      </c>
      <c r="K700" s="9">
        <v>3</v>
      </c>
      <c r="L700" s="9">
        <v>2001</v>
      </c>
      <c r="M700" s="9">
        <f t="shared" si="10"/>
        <v>6003</v>
      </c>
    </row>
    <row r="701" spans="6:13" x14ac:dyDescent="0.3">
      <c r="F701" s="7">
        <v>44365</v>
      </c>
      <c r="G701" s="8" t="s">
        <v>12</v>
      </c>
      <c r="H701" s="8" t="s">
        <v>13</v>
      </c>
      <c r="I701" s="8" t="s">
        <v>22</v>
      </c>
      <c r="J701" s="8" t="s">
        <v>21</v>
      </c>
      <c r="K701" s="9">
        <v>35</v>
      </c>
      <c r="L701" s="9">
        <v>75</v>
      </c>
      <c r="M701" s="9">
        <f t="shared" si="10"/>
        <v>2625</v>
      </c>
    </row>
    <row r="702" spans="6:13" x14ac:dyDescent="0.3">
      <c r="F702" s="7">
        <v>44365</v>
      </c>
      <c r="G702" s="8" t="s">
        <v>15</v>
      </c>
      <c r="H702" s="8" t="s">
        <v>13</v>
      </c>
      <c r="I702" s="8" t="s">
        <v>22</v>
      </c>
      <c r="J702" s="8" t="s">
        <v>21</v>
      </c>
      <c r="K702" s="9">
        <v>9</v>
      </c>
      <c r="L702" s="9">
        <v>315</v>
      </c>
      <c r="M702" s="9">
        <f t="shared" si="10"/>
        <v>2835</v>
      </c>
    </row>
    <row r="703" spans="6:13" x14ac:dyDescent="0.3">
      <c r="F703" s="7">
        <v>44365</v>
      </c>
      <c r="G703" s="8" t="s">
        <v>16</v>
      </c>
      <c r="H703" s="8" t="s">
        <v>9</v>
      </c>
      <c r="I703" s="8" t="s">
        <v>20</v>
      </c>
      <c r="J703" s="8" t="s">
        <v>21</v>
      </c>
      <c r="K703" s="9">
        <v>6</v>
      </c>
      <c r="L703" s="9">
        <v>1080</v>
      </c>
      <c r="M703" s="9">
        <f t="shared" si="10"/>
        <v>6480</v>
      </c>
    </row>
    <row r="704" spans="6:13" x14ac:dyDescent="0.3">
      <c r="F704" s="7">
        <v>44365</v>
      </c>
      <c r="G704" s="8" t="s">
        <v>17</v>
      </c>
      <c r="H704" s="8" t="s">
        <v>18</v>
      </c>
      <c r="I704" s="8" t="s">
        <v>20</v>
      </c>
      <c r="J704" s="8" t="s">
        <v>21</v>
      </c>
      <c r="K704" s="9">
        <v>3</v>
      </c>
      <c r="L704" s="9">
        <v>1575</v>
      </c>
      <c r="M704" s="9">
        <f t="shared" si="10"/>
        <v>4725</v>
      </c>
    </row>
    <row r="705" spans="6:13" x14ac:dyDescent="0.3">
      <c r="F705" s="7">
        <v>44365</v>
      </c>
      <c r="G705" s="8" t="s">
        <v>19</v>
      </c>
      <c r="H705" s="8" t="s">
        <v>18</v>
      </c>
      <c r="I705" s="8" t="s">
        <v>20</v>
      </c>
      <c r="J705" s="8" t="s">
        <v>21</v>
      </c>
      <c r="K705" s="9">
        <v>5</v>
      </c>
      <c r="L705" s="9">
        <v>790</v>
      </c>
      <c r="M705" s="9">
        <f t="shared" si="10"/>
        <v>3950</v>
      </c>
    </row>
    <row r="706" spans="6:13" x14ac:dyDescent="0.3">
      <c r="F706" s="7">
        <v>44365</v>
      </c>
      <c r="G706" s="8" t="s">
        <v>8</v>
      </c>
      <c r="H706" s="8" t="s">
        <v>9</v>
      </c>
      <c r="I706" s="8" t="s">
        <v>23</v>
      </c>
      <c r="J706" s="8" t="s">
        <v>24</v>
      </c>
      <c r="K706" s="9">
        <v>4</v>
      </c>
      <c r="L706" s="9">
        <v>2001</v>
      </c>
      <c r="M706" s="9">
        <f t="shared" si="10"/>
        <v>8004</v>
      </c>
    </row>
    <row r="707" spans="6:13" x14ac:dyDescent="0.3">
      <c r="F707" s="7">
        <v>44365</v>
      </c>
      <c r="G707" s="8" t="s">
        <v>12</v>
      </c>
      <c r="H707" s="8" t="s">
        <v>13</v>
      </c>
      <c r="I707" s="8" t="s">
        <v>23</v>
      </c>
      <c r="J707" s="8" t="s">
        <v>24</v>
      </c>
      <c r="K707" s="9">
        <v>51</v>
      </c>
      <c r="L707" s="9">
        <v>75</v>
      </c>
      <c r="M707" s="9">
        <f t="shared" si="10"/>
        <v>3825</v>
      </c>
    </row>
    <row r="708" spans="6:13" x14ac:dyDescent="0.3">
      <c r="F708" s="7">
        <v>44365</v>
      </c>
      <c r="G708" s="8" t="s">
        <v>15</v>
      </c>
      <c r="H708" s="8" t="s">
        <v>13</v>
      </c>
      <c r="I708" s="8" t="s">
        <v>23</v>
      </c>
      <c r="J708" s="8" t="s">
        <v>24</v>
      </c>
      <c r="K708" s="9">
        <v>10</v>
      </c>
      <c r="L708" s="9">
        <v>315</v>
      </c>
      <c r="M708" s="9">
        <f t="shared" ref="M708:M771" si="11">K708*L708</f>
        <v>3150</v>
      </c>
    </row>
    <row r="709" spans="6:13" x14ac:dyDescent="0.3">
      <c r="F709" s="7">
        <v>44365</v>
      </c>
      <c r="G709" s="8" t="s">
        <v>16</v>
      </c>
      <c r="H709" s="8" t="s">
        <v>9</v>
      </c>
      <c r="I709" s="8" t="s">
        <v>23</v>
      </c>
      <c r="J709" s="8" t="s">
        <v>24</v>
      </c>
      <c r="K709" s="9">
        <v>6</v>
      </c>
      <c r="L709" s="9">
        <v>1080</v>
      </c>
      <c r="M709" s="9">
        <f t="shared" si="11"/>
        <v>6480</v>
      </c>
    </row>
    <row r="710" spans="6:13" x14ac:dyDescent="0.3">
      <c r="F710" s="7">
        <v>44365</v>
      </c>
      <c r="G710" s="8" t="s">
        <v>17</v>
      </c>
      <c r="H710" s="8" t="s">
        <v>18</v>
      </c>
      <c r="I710" s="8" t="s">
        <v>25</v>
      </c>
      <c r="J710" s="8" t="s">
        <v>24</v>
      </c>
      <c r="K710" s="9">
        <v>4</v>
      </c>
      <c r="L710" s="9">
        <v>1575</v>
      </c>
      <c r="M710" s="9">
        <f t="shared" si="11"/>
        <v>6300</v>
      </c>
    </row>
    <row r="711" spans="6:13" x14ac:dyDescent="0.3">
      <c r="F711" s="7">
        <v>44365</v>
      </c>
      <c r="G711" s="8" t="s">
        <v>19</v>
      </c>
      <c r="H711" s="8" t="s">
        <v>18</v>
      </c>
      <c r="I711" s="8" t="s">
        <v>25</v>
      </c>
      <c r="J711" s="8" t="s">
        <v>24</v>
      </c>
      <c r="K711" s="9">
        <v>6</v>
      </c>
      <c r="L711" s="9">
        <v>790</v>
      </c>
      <c r="M711" s="9">
        <f t="shared" si="11"/>
        <v>4740</v>
      </c>
    </row>
    <row r="712" spans="6:13" x14ac:dyDescent="0.3">
      <c r="F712" s="7">
        <v>44365</v>
      </c>
      <c r="G712" s="8" t="s">
        <v>8</v>
      </c>
      <c r="H712" s="8" t="s">
        <v>9</v>
      </c>
      <c r="I712" s="8" t="s">
        <v>26</v>
      </c>
      <c r="J712" s="8" t="s">
        <v>27</v>
      </c>
      <c r="K712" s="9">
        <v>4</v>
      </c>
      <c r="L712" s="9">
        <v>2001</v>
      </c>
      <c r="M712" s="9">
        <f t="shared" si="11"/>
        <v>8004</v>
      </c>
    </row>
    <row r="713" spans="6:13" x14ac:dyDescent="0.3">
      <c r="F713" s="7">
        <v>44365</v>
      </c>
      <c r="G713" s="8" t="s">
        <v>12</v>
      </c>
      <c r="H713" s="8" t="s">
        <v>13</v>
      </c>
      <c r="I713" s="8" t="s">
        <v>28</v>
      </c>
      <c r="J713" s="8" t="s">
        <v>27</v>
      </c>
      <c r="K713" s="9">
        <v>43</v>
      </c>
      <c r="L713" s="9">
        <v>75</v>
      </c>
      <c r="M713" s="9">
        <f t="shared" si="11"/>
        <v>3225</v>
      </c>
    </row>
    <row r="714" spans="6:13" x14ac:dyDescent="0.3">
      <c r="F714" s="7">
        <v>44365</v>
      </c>
      <c r="G714" s="8" t="s">
        <v>15</v>
      </c>
      <c r="H714" s="8" t="s">
        <v>13</v>
      </c>
      <c r="I714" s="8" t="s">
        <v>28</v>
      </c>
      <c r="J714" s="8" t="s">
        <v>27</v>
      </c>
      <c r="K714" s="9">
        <v>9</v>
      </c>
      <c r="L714" s="9">
        <v>315</v>
      </c>
      <c r="M714" s="9">
        <f t="shared" si="11"/>
        <v>2835</v>
      </c>
    </row>
    <row r="715" spans="6:13" x14ac:dyDescent="0.3">
      <c r="F715" s="7">
        <v>44365</v>
      </c>
      <c r="G715" s="8" t="s">
        <v>16</v>
      </c>
      <c r="H715" s="8" t="s">
        <v>9</v>
      </c>
      <c r="I715" s="8" t="s">
        <v>26</v>
      </c>
      <c r="J715" s="8" t="s">
        <v>27</v>
      </c>
      <c r="K715" s="9">
        <v>6</v>
      </c>
      <c r="L715" s="9">
        <v>1080</v>
      </c>
      <c r="M715" s="9">
        <f t="shared" si="11"/>
        <v>6480</v>
      </c>
    </row>
    <row r="716" spans="6:13" x14ac:dyDescent="0.3">
      <c r="F716" s="7">
        <v>44365</v>
      </c>
      <c r="G716" s="8" t="s">
        <v>17</v>
      </c>
      <c r="H716" s="8" t="s">
        <v>18</v>
      </c>
      <c r="I716" s="8" t="s">
        <v>28</v>
      </c>
      <c r="J716" s="8" t="s">
        <v>27</v>
      </c>
      <c r="K716" s="9">
        <v>6</v>
      </c>
      <c r="L716" s="9">
        <v>1575</v>
      </c>
      <c r="M716" s="9">
        <f t="shared" si="11"/>
        <v>9450</v>
      </c>
    </row>
    <row r="717" spans="6:13" x14ac:dyDescent="0.3">
      <c r="F717" s="7">
        <v>44365</v>
      </c>
      <c r="G717" s="8" t="s">
        <v>19</v>
      </c>
      <c r="H717" s="8" t="s">
        <v>18</v>
      </c>
      <c r="I717" s="8" t="s">
        <v>28</v>
      </c>
      <c r="J717" s="8" t="s">
        <v>27</v>
      </c>
      <c r="K717" s="9">
        <v>10</v>
      </c>
      <c r="L717" s="9">
        <v>790</v>
      </c>
      <c r="M717" s="9">
        <f t="shared" si="11"/>
        <v>7900</v>
      </c>
    </row>
    <row r="718" spans="6:13" x14ac:dyDescent="0.3">
      <c r="F718" s="7">
        <v>44365</v>
      </c>
      <c r="G718" s="8" t="s">
        <v>8</v>
      </c>
      <c r="H718" s="8" t="s">
        <v>9</v>
      </c>
      <c r="I718" s="8" t="s">
        <v>29</v>
      </c>
      <c r="J718" s="8" t="s">
        <v>30</v>
      </c>
      <c r="K718" s="9">
        <v>3</v>
      </c>
      <c r="L718" s="9">
        <v>2001</v>
      </c>
      <c r="M718" s="9">
        <f t="shared" si="11"/>
        <v>6003</v>
      </c>
    </row>
    <row r="719" spans="6:13" x14ac:dyDescent="0.3">
      <c r="F719" s="7">
        <v>44365</v>
      </c>
      <c r="G719" s="8" t="s">
        <v>12</v>
      </c>
      <c r="H719" s="8" t="s">
        <v>13</v>
      </c>
      <c r="I719" s="8" t="s">
        <v>31</v>
      </c>
      <c r="J719" s="8" t="s">
        <v>30</v>
      </c>
      <c r="K719" s="9">
        <v>51</v>
      </c>
      <c r="L719" s="9">
        <v>75</v>
      </c>
      <c r="M719" s="9">
        <f t="shared" si="11"/>
        <v>3825</v>
      </c>
    </row>
    <row r="720" spans="6:13" x14ac:dyDescent="0.3">
      <c r="F720" s="7">
        <v>44365</v>
      </c>
      <c r="G720" s="8" t="s">
        <v>15</v>
      </c>
      <c r="H720" s="8" t="s">
        <v>13</v>
      </c>
      <c r="I720" s="8" t="s">
        <v>31</v>
      </c>
      <c r="J720" s="8" t="s">
        <v>30</v>
      </c>
      <c r="K720" s="9">
        <v>8</v>
      </c>
      <c r="L720" s="9">
        <v>315</v>
      </c>
      <c r="M720" s="9">
        <f t="shared" si="11"/>
        <v>2520</v>
      </c>
    </row>
    <row r="721" spans="6:13" x14ac:dyDescent="0.3">
      <c r="F721" s="7">
        <v>44365</v>
      </c>
      <c r="G721" s="8" t="s">
        <v>16</v>
      </c>
      <c r="H721" s="8" t="s">
        <v>9</v>
      </c>
      <c r="I721" s="8" t="s">
        <v>29</v>
      </c>
      <c r="J721" s="8" t="s">
        <v>30</v>
      </c>
      <c r="K721" s="9">
        <v>2</v>
      </c>
      <c r="L721" s="9">
        <v>1080</v>
      </c>
      <c r="M721" s="9">
        <f t="shared" si="11"/>
        <v>2160</v>
      </c>
    </row>
    <row r="722" spans="6:13" x14ac:dyDescent="0.3">
      <c r="F722" s="7">
        <v>44365</v>
      </c>
      <c r="G722" s="8" t="s">
        <v>17</v>
      </c>
      <c r="H722" s="8" t="s">
        <v>18</v>
      </c>
      <c r="I722" s="8" t="s">
        <v>29</v>
      </c>
      <c r="J722" s="8" t="s">
        <v>30</v>
      </c>
      <c r="K722" s="9">
        <v>4</v>
      </c>
      <c r="L722" s="9">
        <v>1575</v>
      </c>
      <c r="M722" s="9">
        <f t="shared" si="11"/>
        <v>6300</v>
      </c>
    </row>
    <row r="723" spans="6:13" x14ac:dyDescent="0.3">
      <c r="F723" s="7">
        <v>44365</v>
      </c>
      <c r="G723" s="8" t="s">
        <v>19</v>
      </c>
      <c r="H723" s="8" t="s">
        <v>18</v>
      </c>
      <c r="I723" s="8" t="s">
        <v>29</v>
      </c>
      <c r="J723" s="8" t="s">
        <v>30</v>
      </c>
      <c r="K723" s="9">
        <v>9</v>
      </c>
      <c r="L723" s="9">
        <v>790</v>
      </c>
      <c r="M723" s="9">
        <f t="shared" si="11"/>
        <v>7110</v>
      </c>
    </row>
    <row r="724" spans="6:13" x14ac:dyDescent="0.3">
      <c r="F724" s="7">
        <v>44372</v>
      </c>
      <c r="G724" s="8" t="s">
        <v>8</v>
      </c>
      <c r="H724" s="8" t="s">
        <v>9</v>
      </c>
      <c r="I724" s="8" t="s">
        <v>10</v>
      </c>
      <c r="J724" s="8" t="s">
        <v>11</v>
      </c>
      <c r="K724" s="9">
        <v>6</v>
      </c>
      <c r="L724" s="9">
        <v>2001</v>
      </c>
      <c r="M724" s="9">
        <f t="shared" si="11"/>
        <v>12006</v>
      </c>
    </row>
    <row r="725" spans="6:13" x14ac:dyDescent="0.3">
      <c r="F725" s="7">
        <v>44372</v>
      </c>
      <c r="G725" s="8" t="s">
        <v>12</v>
      </c>
      <c r="H725" s="8" t="s">
        <v>13</v>
      </c>
      <c r="I725" s="8" t="s">
        <v>14</v>
      </c>
      <c r="J725" s="8" t="s">
        <v>11</v>
      </c>
      <c r="K725" s="9">
        <v>43</v>
      </c>
      <c r="L725" s="9">
        <v>75</v>
      </c>
      <c r="M725" s="9">
        <f t="shared" si="11"/>
        <v>3225</v>
      </c>
    </row>
    <row r="726" spans="6:13" x14ac:dyDescent="0.3">
      <c r="F726" s="7">
        <v>44372</v>
      </c>
      <c r="G726" s="8" t="s">
        <v>15</v>
      </c>
      <c r="H726" s="8" t="s">
        <v>13</v>
      </c>
      <c r="I726" s="8" t="s">
        <v>14</v>
      </c>
      <c r="J726" s="8" t="s">
        <v>11</v>
      </c>
      <c r="K726" s="9">
        <v>11</v>
      </c>
      <c r="L726" s="9">
        <v>315</v>
      </c>
      <c r="M726" s="9">
        <f t="shared" si="11"/>
        <v>3465</v>
      </c>
    </row>
    <row r="727" spans="6:13" x14ac:dyDescent="0.3">
      <c r="F727" s="7">
        <v>44372</v>
      </c>
      <c r="G727" s="8" t="s">
        <v>16</v>
      </c>
      <c r="H727" s="8" t="s">
        <v>9</v>
      </c>
      <c r="I727" s="8" t="s">
        <v>14</v>
      </c>
      <c r="J727" s="8" t="s">
        <v>11</v>
      </c>
      <c r="K727" s="9">
        <v>6</v>
      </c>
      <c r="L727" s="9">
        <v>1080</v>
      </c>
      <c r="M727" s="9">
        <f t="shared" si="11"/>
        <v>6480</v>
      </c>
    </row>
    <row r="728" spans="6:13" x14ac:dyDescent="0.3">
      <c r="F728" s="7">
        <v>44372</v>
      </c>
      <c r="G728" s="8" t="s">
        <v>17</v>
      </c>
      <c r="H728" s="8" t="s">
        <v>18</v>
      </c>
      <c r="I728" s="8" t="s">
        <v>10</v>
      </c>
      <c r="J728" s="8" t="s">
        <v>11</v>
      </c>
      <c r="K728" s="9">
        <v>2</v>
      </c>
      <c r="L728" s="9">
        <v>1575</v>
      </c>
      <c r="M728" s="9">
        <f t="shared" si="11"/>
        <v>3150</v>
      </c>
    </row>
    <row r="729" spans="6:13" x14ac:dyDescent="0.3">
      <c r="F729" s="7">
        <v>44372</v>
      </c>
      <c r="G729" s="8" t="s">
        <v>19</v>
      </c>
      <c r="H729" s="8" t="s">
        <v>18</v>
      </c>
      <c r="I729" s="8" t="s">
        <v>10</v>
      </c>
      <c r="J729" s="8" t="s">
        <v>11</v>
      </c>
      <c r="K729" s="9">
        <v>7</v>
      </c>
      <c r="L729" s="9">
        <v>790</v>
      </c>
      <c r="M729" s="9">
        <f t="shared" si="11"/>
        <v>5530</v>
      </c>
    </row>
    <row r="730" spans="6:13" x14ac:dyDescent="0.3">
      <c r="F730" s="7">
        <v>44372</v>
      </c>
      <c r="G730" s="8" t="s">
        <v>8</v>
      </c>
      <c r="H730" s="8" t="s">
        <v>9</v>
      </c>
      <c r="I730" s="8" t="s">
        <v>20</v>
      </c>
      <c r="J730" s="8" t="s">
        <v>21</v>
      </c>
      <c r="K730" s="9">
        <v>5</v>
      </c>
      <c r="L730" s="9">
        <v>2001</v>
      </c>
      <c r="M730" s="9">
        <f t="shared" si="11"/>
        <v>10005</v>
      </c>
    </row>
    <row r="731" spans="6:13" x14ac:dyDescent="0.3">
      <c r="F731" s="7">
        <v>44372</v>
      </c>
      <c r="G731" s="8" t="s">
        <v>12</v>
      </c>
      <c r="H731" s="8" t="s">
        <v>13</v>
      </c>
      <c r="I731" s="8" t="s">
        <v>22</v>
      </c>
      <c r="J731" s="8" t="s">
        <v>21</v>
      </c>
      <c r="K731" s="9">
        <v>42</v>
      </c>
      <c r="L731" s="9">
        <v>75</v>
      </c>
      <c r="M731" s="9">
        <f t="shared" si="11"/>
        <v>3150</v>
      </c>
    </row>
    <row r="732" spans="6:13" x14ac:dyDescent="0.3">
      <c r="F732" s="7">
        <v>44372</v>
      </c>
      <c r="G732" s="8" t="s">
        <v>15</v>
      </c>
      <c r="H732" s="8" t="s">
        <v>13</v>
      </c>
      <c r="I732" s="8" t="s">
        <v>22</v>
      </c>
      <c r="J732" s="8" t="s">
        <v>21</v>
      </c>
      <c r="K732" s="9">
        <v>6</v>
      </c>
      <c r="L732" s="9">
        <v>315</v>
      </c>
      <c r="M732" s="9">
        <f t="shared" si="11"/>
        <v>1890</v>
      </c>
    </row>
    <row r="733" spans="6:13" x14ac:dyDescent="0.3">
      <c r="F733" s="7">
        <v>44372</v>
      </c>
      <c r="G733" s="8" t="s">
        <v>16</v>
      </c>
      <c r="H733" s="8" t="s">
        <v>9</v>
      </c>
      <c r="I733" s="8" t="s">
        <v>20</v>
      </c>
      <c r="J733" s="8" t="s">
        <v>21</v>
      </c>
      <c r="K733" s="9">
        <v>2</v>
      </c>
      <c r="L733" s="9">
        <v>1080</v>
      </c>
      <c r="M733" s="9">
        <f t="shared" si="11"/>
        <v>2160</v>
      </c>
    </row>
    <row r="734" spans="6:13" x14ac:dyDescent="0.3">
      <c r="F734" s="7">
        <v>44372</v>
      </c>
      <c r="G734" s="8" t="s">
        <v>17</v>
      </c>
      <c r="H734" s="8" t="s">
        <v>18</v>
      </c>
      <c r="I734" s="8" t="s">
        <v>22</v>
      </c>
      <c r="J734" s="8" t="s">
        <v>21</v>
      </c>
      <c r="K734" s="9">
        <v>3</v>
      </c>
      <c r="L734" s="9">
        <v>1575</v>
      </c>
      <c r="M734" s="9">
        <f t="shared" si="11"/>
        <v>4725</v>
      </c>
    </row>
    <row r="735" spans="6:13" x14ac:dyDescent="0.3">
      <c r="F735" s="7">
        <v>44372</v>
      </c>
      <c r="G735" s="8" t="s">
        <v>19</v>
      </c>
      <c r="H735" s="8" t="s">
        <v>18</v>
      </c>
      <c r="I735" s="8" t="s">
        <v>22</v>
      </c>
      <c r="J735" s="8" t="s">
        <v>21</v>
      </c>
      <c r="K735" s="9">
        <v>11</v>
      </c>
      <c r="L735" s="9">
        <v>790</v>
      </c>
      <c r="M735" s="9">
        <f t="shared" si="11"/>
        <v>8690</v>
      </c>
    </row>
    <row r="736" spans="6:13" x14ac:dyDescent="0.3">
      <c r="F736" s="7">
        <v>44372</v>
      </c>
      <c r="G736" s="8" t="s">
        <v>8</v>
      </c>
      <c r="H736" s="8" t="s">
        <v>9</v>
      </c>
      <c r="I736" s="8" t="s">
        <v>23</v>
      </c>
      <c r="J736" s="8" t="s">
        <v>24</v>
      </c>
      <c r="K736" s="9">
        <v>4</v>
      </c>
      <c r="L736" s="9">
        <v>2001</v>
      </c>
      <c r="M736" s="9">
        <f t="shared" si="11"/>
        <v>8004</v>
      </c>
    </row>
    <row r="737" spans="6:13" x14ac:dyDescent="0.3">
      <c r="F737" s="7">
        <v>44372</v>
      </c>
      <c r="G737" s="8" t="s">
        <v>12</v>
      </c>
      <c r="H737" s="8" t="s">
        <v>13</v>
      </c>
      <c r="I737" s="8" t="s">
        <v>23</v>
      </c>
      <c r="J737" s="8" t="s">
        <v>24</v>
      </c>
      <c r="K737" s="9">
        <v>56</v>
      </c>
      <c r="L737" s="9">
        <v>75</v>
      </c>
      <c r="M737" s="9">
        <f t="shared" si="11"/>
        <v>4200</v>
      </c>
    </row>
    <row r="738" spans="6:13" x14ac:dyDescent="0.3">
      <c r="F738" s="7">
        <v>44372</v>
      </c>
      <c r="G738" s="8" t="s">
        <v>15</v>
      </c>
      <c r="H738" s="8" t="s">
        <v>13</v>
      </c>
      <c r="I738" s="8" t="s">
        <v>23</v>
      </c>
      <c r="J738" s="8" t="s">
        <v>24</v>
      </c>
      <c r="K738" s="9">
        <v>9</v>
      </c>
      <c r="L738" s="9">
        <v>315</v>
      </c>
      <c r="M738" s="9">
        <f t="shared" si="11"/>
        <v>2835</v>
      </c>
    </row>
    <row r="739" spans="6:13" x14ac:dyDescent="0.3">
      <c r="F739" s="7">
        <v>44372</v>
      </c>
      <c r="G739" s="8" t="s">
        <v>16</v>
      </c>
      <c r="H739" s="8" t="s">
        <v>9</v>
      </c>
      <c r="I739" s="8" t="s">
        <v>23</v>
      </c>
      <c r="J739" s="8" t="s">
        <v>24</v>
      </c>
      <c r="K739" s="9">
        <v>3</v>
      </c>
      <c r="L739" s="9">
        <v>1080</v>
      </c>
      <c r="M739" s="9">
        <f t="shared" si="11"/>
        <v>3240</v>
      </c>
    </row>
    <row r="740" spans="6:13" x14ac:dyDescent="0.3">
      <c r="F740" s="7">
        <v>44372</v>
      </c>
      <c r="G740" s="8" t="s">
        <v>17</v>
      </c>
      <c r="H740" s="8" t="s">
        <v>18</v>
      </c>
      <c r="I740" s="8" t="s">
        <v>25</v>
      </c>
      <c r="J740" s="8" t="s">
        <v>24</v>
      </c>
      <c r="K740" s="9">
        <v>4</v>
      </c>
      <c r="L740" s="9">
        <v>1575</v>
      </c>
      <c r="M740" s="9">
        <f t="shared" si="11"/>
        <v>6300</v>
      </c>
    </row>
    <row r="741" spans="6:13" x14ac:dyDescent="0.3">
      <c r="F741" s="7">
        <v>44372</v>
      </c>
      <c r="G741" s="8" t="s">
        <v>19</v>
      </c>
      <c r="H741" s="8" t="s">
        <v>18</v>
      </c>
      <c r="I741" s="8" t="s">
        <v>25</v>
      </c>
      <c r="J741" s="8" t="s">
        <v>24</v>
      </c>
      <c r="K741" s="9">
        <v>11</v>
      </c>
      <c r="L741" s="9">
        <v>790</v>
      </c>
      <c r="M741" s="9">
        <f t="shared" si="11"/>
        <v>8690</v>
      </c>
    </row>
    <row r="742" spans="6:13" x14ac:dyDescent="0.3">
      <c r="F742" s="7">
        <v>44372</v>
      </c>
      <c r="G742" s="8" t="s">
        <v>8</v>
      </c>
      <c r="H742" s="8" t="s">
        <v>9</v>
      </c>
      <c r="I742" s="8" t="s">
        <v>26</v>
      </c>
      <c r="J742" s="8" t="s">
        <v>27</v>
      </c>
      <c r="K742" s="9">
        <v>6</v>
      </c>
      <c r="L742" s="9">
        <v>2001</v>
      </c>
      <c r="M742" s="9">
        <f t="shared" si="11"/>
        <v>12006</v>
      </c>
    </row>
    <row r="743" spans="6:13" x14ac:dyDescent="0.3">
      <c r="F743" s="7">
        <v>44372</v>
      </c>
      <c r="G743" s="8" t="s">
        <v>12</v>
      </c>
      <c r="H743" s="8" t="s">
        <v>13</v>
      </c>
      <c r="I743" s="8" t="s">
        <v>28</v>
      </c>
      <c r="J743" s="8" t="s">
        <v>27</v>
      </c>
      <c r="K743" s="9">
        <v>53</v>
      </c>
      <c r="L743" s="9">
        <v>75</v>
      </c>
      <c r="M743" s="9">
        <f t="shared" si="11"/>
        <v>3975</v>
      </c>
    </row>
    <row r="744" spans="6:13" x14ac:dyDescent="0.3">
      <c r="F744" s="7">
        <v>44372</v>
      </c>
      <c r="G744" s="8" t="s">
        <v>15</v>
      </c>
      <c r="H744" s="8" t="s">
        <v>13</v>
      </c>
      <c r="I744" s="8" t="s">
        <v>28</v>
      </c>
      <c r="J744" s="8" t="s">
        <v>27</v>
      </c>
      <c r="K744" s="9">
        <v>13</v>
      </c>
      <c r="L744" s="9">
        <v>315</v>
      </c>
      <c r="M744" s="9">
        <f t="shared" si="11"/>
        <v>4095</v>
      </c>
    </row>
    <row r="745" spans="6:13" x14ac:dyDescent="0.3">
      <c r="F745" s="7">
        <v>44372</v>
      </c>
      <c r="G745" s="8" t="s">
        <v>16</v>
      </c>
      <c r="H745" s="8" t="s">
        <v>9</v>
      </c>
      <c r="I745" s="8" t="s">
        <v>26</v>
      </c>
      <c r="J745" s="8" t="s">
        <v>27</v>
      </c>
      <c r="K745" s="9">
        <v>2</v>
      </c>
      <c r="L745" s="9">
        <v>1080</v>
      </c>
      <c r="M745" s="9">
        <f t="shared" si="11"/>
        <v>2160</v>
      </c>
    </row>
    <row r="746" spans="6:13" x14ac:dyDescent="0.3">
      <c r="F746" s="7">
        <v>44372</v>
      </c>
      <c r="G746" s="8" t="s">
        <v>17</v>
      </c>
      <c r="H746" s="8" t="s">
        <v>18</v>
      </c>
      <c r="I746" s="8" t="s">
        <v>28</v>
      </c>
      <c r="J746" s="8" t="s">
        <v>27</v>
      </c>
      <c r="K746" s="9">
        <v>6</v>
      </c>
      <c r="L746" s="9">
        <v>1575</v>
      </c>
      <c r="M746" s="9">
        <f t="shared" si="11"/>
        <v>9450</v>
      </c>
    </row>
    <row r="747" spans="6:13" x14ac:dyDescent="0.3">
      <c r="F747" s="7">
        <v>44372</v>
      </c>
      <c r="G747" s="8" t="s">
        <v>19</v>
      </c>
      <c r="H747" s="8" t="s">
        <v>18</v>
      </c>
      <c r="I747" s="8" t="s">
        <v>28</v>
      </c>
      <c r="J747" s="8" t="s">
        <v>27</v>
      </c>
      <c r="K747" s="9">
        <v>6</v>
      </c>
      <c r="L747" s="9">
        <v>790</v>
      </c>
      <c r="M747" s="9">
        <f t="shared" si="11"/>
        <v>4740</v>
      </c>
    </row>
    <row r="748" spans="6:13" x14ac:dyDescent="0.3">
      <c r="F748" s="7">
        <v>44372</v>
      </c>
      <c r="G748" s="8" t="s">
        <v>8</v>
      </c>
      <c r="H748" s="8" t="s">
        <v>9</v>
      </c>
      <c r="I748" s="8" t="s">
        <v>29</v>
      </c>
      <c r="J748" s="8" t="s">
        <v>30</v>
      </c>
      <c r="K748" s="9">
        <v>3</v>
      </c>
      <c r="L748" s="9">
        <v>2001</v>
      </c>
      <c r="M748" s="9">
        <f t="shared" si="11"/>
        <v>6003</v>
      </c>
    </row>
    <row r="749" spans="6:13" x14ac:dyDescent="0.3">
      <c r="F749" s="7">
        <v>44372</v>
      </c>
      <c r="G749" s="8" t="s">
        <v>12</v>
      </c>
      <c r="H749" s="8" t="s">
        <v>13</v>
      </c>
      <c r="I749" s="8" t="s">
        <v>31</v>
      </c>
      <c r="J749" s="8" t="s">
        <v>30</v>
      </c>
      <c r="K749" s="9">
        <v>37</v>
      </c>
      <c r="L749" s="9">
        <v>75</v>
      </c>
      <c r="M749" s="9">
        <f t="shared" si="11"/>
        <v>2775</v>
      </c>
    </row>
    <row r="750" spans="6:13" x14ac:dyDescent="0.3">
      <c r="F750" s="7">
        <v>44372</v>
      </c>
      <c r="G750" s="8" t="s">
        <v>15</v>
      </c>
      <c r="H750" s="8" t="s">
        <v>13</v>
      </c>
      <c r="I750" s="8" t="s">
        <v>31</v>
      </c>
      <c r="J750" s="8" t="s">
        <v>30</v>
      </c>
      <c r="K750" s="9">
        <v>12</v>
      </c>
      <c r="L750" s="9">
        <v>315</v>
      </c>
      <c r="M750" s="9">
        <f t="shared" si="11"/>
        <v>3780</v>
      </c>
    </row>
    <row r="751" spans="6:13" x14ac:dyDescent="0.3">
      <c r="F751" s="7">
        <v>44372</v>
      </c>
      <c r="G751" s="8" t="s">
        <v>16</v>
      </c>
      <c r="H751" s="8" t="s">
        <v>9</v>
      </c>
      <c r="I751" s="8" t="s">
        <v>29</v>
      </c>
      <c r="J751" s="8" t="s">
        <v>30</v>
      </c>
      <c r="K751" s="9">
        <v>6</v>
      </c>
      <c r="L751" s="9">
        <v>1080</v>
      </c>
      <c r="M751" s="9">
        <f t="shared" si="11"/>
        <v>6480</v>
      </c>
    </row>
    <row r="752" spans="6:13" x14ac:dyDescent="0.3">
      <c r="F752" s="7">
        <v>44372</v>
      </c>
      <c r="G752" s="8" t="s">
        <v>17</v>
      </c>
      <c r="H752" s="8" t="s">
        <v>18</v>
      </c>
      <c r="I752" s="8" t="s">
        <v>29</v>
      </c>
      <c r="J752" s="8" t="s">
        <v>30</v>
      </c>
      <c r="K752" s="9">
        <v>4</v>
      </c>
      <c r="L752" s="9">
        <v>1575</v>
      </c>
      <c r="M752" s="9">
        <f t="shared" si="11"/>
        <v>6300</v>
      </c>
    </row>
    <row r="753" spans="6:13" x14ac:dyDescent="0.3">
      <c r="F753" s="7">
        <v>44372</v>
      </c>
      <c r="G753" s="8" t="s">
        <v>19</v>
      </c>
      <c r="H753" s="8" t="s">
        <v>18</v>
      </c>
      <c r="I753" s="8" t="s">
        <v>29</v>
      </c>
      <c r="J753" s="8" t="s">
        <v>30</v>
      </c>
      <c r="K753" s="9">
        <v>10</v>
      </c>
      <c r="L753" s="9">
        <v>790</v>
      </c>
      <c r="M753" s="9">
        <f t="shared" si="11"/>
        <v>7900</v>
      </c>
    </row>
    <row r="754" spans="6:13" x14ac:dyDescent="0.3">
      <c r="F754" s="7">
        <v>44379</v>
      </c>
      <c r="G754" s="8" t="s">
        <v>8</v>
      </c>
      <c r="H754" s="8" t="s">
        <v>9</v>
      </c>
      <c r="I754" s="8" t="s">
        <v>14</v>
      </c>
      <c r="J754" s="8" t="s">
        <v>11</v>
      </c>
      <c r="K754" s="9">
        <v>3</v>
      </c>
      <c r="L754" s="9">
        <v>2001</v>
      </c>
      <c r="M754" s="9">
        <f t="shared" si="11"/>
        <v>6003</v>
      </c>
    </row>
    <row r="755" spans="6:13" x14ac:dyDescent="0.3">
      <c r="F755" s="7">
        <v>44379</v>
      </c>
      <c r="G755" s="8" t="s">
        <v>12</v>
      </c>
      <c r="H755" s="8" t="s">
        <v>13</v>
      </c>
      <c r="I755" s="8" t="s">
        <v>14</v>
      </c>
      <c r="J755" s="8" t="s">
        <v>11</v>
      </c>
      <c r="K755" s="9">
        <v>38</v>
      </c>
      <c r="L755" s="9">
        <v>75</v>
      </c>
      <c r="M755" s="9">
        <f t="shared" si="11"/>
        <v>2850</v>
      </c>
    </row>
    <row r="756" spans="6:13" x14ac:dyDescent="0.3">
      <c r="F756" s="7">
        <v>44379</v>
      </c>
      <c r="G756" s="8" t="s">
        <v>15</v>
      </c>
      <c r="H756" s="8" t="s">
        <v>13</v>
      </c>
      <c r="I756" s="8" t="s">
        <v>14</v>
      </c>
      <c r="J756" s="8" t="s">
        <v>11</v>
      </c>
      <c r="K756" s="9">
        <v>14</v>
      </c>
      <c r="L756" s="9">
        <v>315</v>
      </c>
      <c r="M756" s="9">
        <f t="shared" si="11"/>
        <v>4410</v>
      </c>
    </row>
    <row r="757" spans="6:13" x14ac:dyDescent="0.3">
      <c r="F757" s="7">
        <v>44379</v>
      </c>
      <c r="G757" s="8" t="s">
        <v>16</v>
      </c>
      <c r="H757" s="8" t="s">
        <v>9</v>
      </c>
      <c r="I757" s="8" t="s">
        <v>14</v>
      </c>
      <c r="J757" s="8" t="s">
        <v>11</v>
      </c>
      <c r="K757" s="9">
        <v>6</v>
      </c>
      <c r="L757" s="9">
        <v>1080</v>
      </c>
      <c r="M757" s="9">
        <f t="shared" si="11"/>
        <v>6480</v>
      </c>
    </row>
    <row r="758" spans="6:13" x14ac:dyDescent="0.3">
      <c r="F758" s="7">
        <v>44379</v>
      </c>
      <c r="G758" s="8" t="s">
        <v>17</v>
      </c>
      <c r="H758" s="8" t="s">
        <v>18</v>
      </c>
      <c r="I758" s="8" t="s">
        <v>10</v>
      </c>
      <c r="J758" s="8" t="s">
        <v>11</v>
      </c>
      <c r="K758" s="9">
        <v>3</v>
      </c>
      <c r="L758" s="9">
        <v>1575</v>
      </c>
      <c r="M758" s="9">
        <f t="shared" si="11"/>
        <v>4725</v>
      </c>
    </row>
    <row r="759" spans="6:13" x14ac:dyDescent="0.3">
      <c r="F759" s="7">
        <v>44379</v>
      </c>
      <c r="G759" s="8" t="s">
        <v>19</v>
      </c>
      <c r="H759" s="8" t="s">
        <v>18</v>
      </c>
      <c r="I759" s="8" t="s">
        <v>10</v>
      </c>
      <c r="J759" s="8" t="s">
        <v>11</v>
      </c>
      <c r="K759" s="9">
        <v>11</v>
      </c>
      <c r="L759" s="9">
        <v>790</v>
      </c>
      <c r="M759" s="9">
        <f t="shared" si="11"/>
        <v>8690</v>
      </c>
    </row>
    <row r="760" spans="6:13" x14ac:dyDescent="0.3">
      <c r="F760" s="7">
        <v>44379</v>
      </c>
      <c r="G760" s="8" t="s">
        <v>8</v>
      </c>
      <c r="H760" s="8" t="s">
        <v>9</v>
      </c>
      <c r="I760" s="8" t="s">
        <v>20</v>
      </c>
      <c r="J760" s="8" t="s">
        <v>21</v>
      </c>
      <c r="K760" s="9">
        <v>5</v>
      </c>
      <c r="L760" s="9">
        <v>2001</v>
      </c>
      <c r="M760" s="9">
        <f t="shared" si="11"/>
        <v>10005</v>
      </c>
    </row>
    <row r="761" spans="6:13" x14ac:dyDescent="0.3">
      <c r="F761" s="7">
        <v>44379</v>
      </c>
      <c r="G761" s="8" t="s">
        <v>12</v>
      </c>
      <c r="H761" s="8" t="s">
        <v>13</v>
      </c>
      <c r="I761" s="8" t="s">
        <v>22</v>
      </c>
      <c r="J761" s="8" t="s">
        <v>21</v>
      </c>
      <c r="K761" s="9">
        <v>44</v>
      </c>
      <c r="L761" s="9">
        <v>75</v>
      </c>
      <c r="M761" s="9">
        <f t="shared" si="11"/>
        <v>3300</v>
      </c>
    </row>
    <row r="762" spans="6:13" x14ac:dyDescent="0.3">
      <c r="F762" s="7">
        <v>44379</v>
      </c>
      <c r="G762" s="8" t="s">
        <v>15</v>
      </c>
      <c r="H762" s="8" t="s">
        <v>13</v>
      </c>
      <c r="I762" s="8" t="s">
        <v>22</v>
      </c>
      <c r="J762" s="8" t="s">
        <v>21</v>
      </c>
      <c r="K762" s="9">
        <v>11</v>
      </c>
      <c r="L762" s="9">
        <v>315</v>
      </c>
      <c r="M762" s="9">
        <f t="shared" si="11"/>
        <v>3465</v>
      </c>
    </row>
    <row r="763" spans="6:13" x14ac:dyDescent="0.3">
      <c r="F763" s="7">
        <v>44379</v>
      </c>
      <c r="G763" s="8" t="s">
        <v>16</v>
      </c>
      <c r="H763" s="8" t="s">
        <v>9</v>
      </c>
      <c r="I763" s="8" t="s">
        <v>20</v>
      </c>
      <c r="J763" s="8" t="s">
        <v>21</v>
      </c>
      <c r="K763" s="9">
        <v>5</v>
      </c>
      <c r="L763" s="9">
        <v>1080</v>
      </c>
      <c r="M763" s="9">
        <f t="shared" si="11"/>
        <v>5400</v>
      </c>
    </row>
    <row r="764" spans="6:13" x14ac:dyDescent="0.3">
      <c r="F764" s="7">
        <v>44379</v>
      </c>
      <c r="G764" s="8" t="s">
        <v>17</v>
      </c>
      <c r="H764" s="8" t="s">
        <v>18</v>
      </c>
      <c r="I764" s="8" t="s">
        <v>22</v>
      </c>
      <c r="J764" s="8" t="s">
        <v>21</v>
      </c>
      <c r="K764" s="9">
        <v>5</v>
      </c>
      <c r="L764" s="9">
        <v>1575</v>
      </c>
      <c r="M764" s="9">
        <f t="shared" si="11"/>
        <v>7875</v>
      </c>
    </row>
    <row r="765" spans="6:13" x14ac:dyDescent="0.3">
      <c r="F765" s="7">
        <v>44379</v>
      </c>
      <c r="G765" s="8" t="s">
        <v>19</v>
      </c>
      <c r="H765" s="8" t="s">
        <v>18</v>
      </c>
      <c r="I765" s="8" t="s">
        <v>22</v>
      </c>
      <c r="J765" s="8" t="s">
        <v>21</v>
      </c>
      <c r="K765" s="9">
        <v>7</v>
      </c>
      <c r="L765" s="9">
        <v>790</v>
      </c>
      <c r="M765" s="9">
        <f t="shared" si="11"/>
        <v>5530</v>
      </c>
    </row>
    <row r="766" spans="6:13" x14ac:dyDescent="0.3">
      <c r="F766" s="7">
        <v>44379</v>
      </c>
      <c r="G766" s="8" t="s">
        <v>8</v>
      </c>
      <c r="H766" s="8" t="s">
        <v>9</v>
      </c>
      <c r="I766" s="8" t="s">
        <v>23</v>
      </c>
      <c r="J766" s="8" t="s">
        <v>24</v>
      </c>
      <c r="K766" s="9">
        <v>3</v>
      </c>
      <c r="L766" s="9">
        <v>2001</v>
      </c>
      <c r="M766" s="9">
        <f t="shared" si="11"/>
        <v>6003</v>
      </c>
    </row>
    <row r="767" spans="6:13" x14ac:dyDescent="0.3">
      <c r="F767" s="7">
        <v>44379</v>
      </c>
      <c r="G767" s="8" t="s">
        <v>12</v>
      </c>
      <c r="H767" s="8" t="s">
        <v>13</v>
      </c>
      <c r="I767" s="8" t="s">
        <v>23</v>
      </c>
      <c r="J767" s="8" t="s">
        <v>24</v>
      </c>
      <c r="K767" s="9">
        <v>56</v>
      </c>
      <c r="L767" s="9">
        <v>75</v>
      </c>
      <c r="M767" s="9">
        <f t="shared" si="11"/>
        <v>4200</v>
      </c>
    </row>
    <row r="768" spans="6:13" x14ac:dyDescent="0.3">
      <c r="F768" s="7">
        <v>44379</v>
      </c>
      <c r="G768" s="8" t="s">
        <v>15</v>
      </c>
      <c r="H768" s="8" t="s">
        <v>13</v>
      </c>
      <c r="I768" s="8" t="s">
        <v>23</v>
      </c>
      <c r="J768" s="8" t="s">
        <v>24</v>
      </c>
      <c r="K768" s="9">
        <v>7</v>
      </c>
      <c r="L768" s="9">
        <v>315</v>
      </c>
      <c r="M768" s="9">
        <f t="shared" si="11"/>
        <v>2205</v>
      </c>
    </row>
    <row r="769" spans="6:13" x14ac:dyDescent="0.3">
      <c r="F769" s="7">
        <v>44379</v>
      </c>
      <c r="G769" s="8" t="s">
        <v>16</v>
      </c>
      <c r="H769" s="8" t="s">
        <v>9</v>
      </c>
      <c r="I769" s="8" t="s">
        <v>23</v>
      </c>
      <c r="J769" s="8" t="s">
        <v>24</v>
      </c>
      <c r="K769" s="9">
        <v>5</v>
      </c>
      <c r="L769" s="9">
        <v>1080</v>
      </c>
      <c r="M769" s="9">
        <f t="shared" si="11"/>
        <v>5400</v>
      </c>
    </row>
    <row r="770" spans="6:13" x14ac:dyDescent="0.3">
      <c r="F770" s="7">
        <v>44379</v>
      </c>
      <c r="G770" s="8" t="s">
        <v>17</v>
      </c>
      <c r="H770" s="8" t="s">
        <v>18</v>
      </c>
      <c r="I770" s="8" t="s">
        <v>25</v>
      </c>
      <c r="J770" s="8" t="s">
        <v>24</v>
      </c>
      <c r="K770" s="9">
        <v>6</v>
      </c>
      <c r="L770" s="9">
        <v>1575</v>
      </c>
      <c r="M770" s="9">
        <f t="shared" si="11"/>
        <v>9450</v>
      </c>
    </row>
    <row r="771" spans="6:13" x14ac:dyDescent="0.3">
      <c r="F771" s="7">
        <v>44379</v>
      </c>
      <c r="G771" s="8" t="s">
        <v>19</v>
      </c>
      <c r="H771" s="8" t="s">
        <v>18</v>
      </c>
      <c r="I771" s="8" t="s">
        <v>25</v>
      </c>
      <c r="J771" s="8" t="s">
        <v>24</v>
      </c>
      <c r="K771" s="9">
        <v>8</v>
      </c>
      <c r="L771" s="9">
        <v>790</v>
      </c>
      <c r="M771" s="9">
        <f t="shared" si="11"/>
        <v>6320</v>
      </c>
    </row>
    <row r="772" spans="6:13" x14ac:dyDescent="0.3">
      <c r="F772" s="7">
        <v>44379</v>
      </c>
      <c r="G772" s="8" t="s">
        <v>8</v>
      </c>
      <c r="H772" s="8" t="s">
        <v>9</v>
      </c>
      <c r="I772" s="8" t="s">
        <v>26</v>
      </c>
      <c r="J772" s="8" t="s">
        <v>27</v>
      </c>
      <c r="K772" s="9">
        <v>6</v>
      </c>
      <c r="L772" s="9">
        <v>2001</v>
      </c>
      <c r="M772" s="9">
        <f t="shared" ref="M772:M835" si="12">K772*L772</f>
        <v>12006</v>
      </c>
    </row>
    <row r="773" spans="6:13" x14ac:dyDescent="0.3">
      <c r="F773" s="7">
        <v>44379</v>
      </c>
      <c r="G773" s="8" t="s">
        <v>12</v>
      </c>
      <c r="H773" s="8" t="s">
        <v>13</v>
      </c>
      <c r="I773" s="8" t="s">
        <v>28</v>
      </c>
      <c r="J773" s="8" t="s">
        <v>27</v>
      </c>
      <c r="K773" s="9">
        <v>45</v>
      </c>
      <c r="L773" s="9">
        <v>75</v>
      </c>
      <c r="M773" s="9">
        <f t="shared" si="12"/>
        <v>3375</v>
      </c>
    </row>
    <row r="774" spans="6:13" x14ac:dyDescent="0.3">
      <c r="F774" s="7">
        <v>44379</v>
      </c>
      <c r="G774" s="8" t="s">
        <v>15</v>
      </c>
      <c r="H774" s="8" t="s">
        <v>13</v>
      </c>
      <c r="I774" s="8" t="s">
        <v>28</v>
      </c>
      <c r="J774" s="8" t="s">
        <v>27</v>
      </c>
      <c r="K774" s="9">
        <v>5</v>
      </c>
      <c r="L774" s="9">
        <v>315</v>
      </c>
      <c r="M774" s="9">
        <f t="shared" si="12"/>
        <v>1575</v>
      </c>
    </row>
    <row r="775" spans="6:13" x14ac:dyDescent="0.3">
      <c r="F775" s="7">
        <v>44379</v>
      </c>
      <c r="G775" s="8" t="s">
        <v>16</v>
      </c>
      <c r="H775" s="8" t="s">
        <v>9</v>
      </c>
      <c r="I775" s="8" t="s">
        <v>26</v>
      </c>
      <c r="J775" s="8" t="s">
        <v>27</v>
      </c>
      <c r="K775" s="9">
        <v>2</v>
      </c>
      <c r="L775" s="9">
        <v>1080</v>
      </c>
      <c r="M775" s="9">
        <f t="shared" si="12"/>
        <v>2160</v>
      </c>
    </row>
    <row r="776" spans="6:13" x14ac:dyDescent="0.3">
      <c r="F776" s="7">
        <v>44379</v>
      </c>
      <c r="G776" s="8" t="s">
        <v>17</v>
      </c>
      <c r="H776" s="8" t="s">
        <v>18</v>
      </c>
      <c r="I776" s="8" t="s">
        <v>28</v>
      </c>
      <c r="J776" s="8" t="s">
        <v>27</v>
      </c>
      <c r="K776" s="9">
        <v>5</v>
      </c>
      <c r="L776" s="9">
        <v>1575</v>
      </c>
      <c r="M776" s="9">
        <f t="shared" si="12"/>
        <v>7875</v>
      </c>
    </row>
    <row r="777" spans="6:13" x14ac:dyDescent="0.3">
      <c r="F777" s="7">
        <v>44379</v>
      </c>
      <c r="G777" s="8" t="s">
        <v>19</v>
      </c>
      <c r="H777" s="8" t="s">
        <v>18</v>
      </c>
      <c r="I777" s="8" t="s">
        <v>28</v>
      </c>
      <c r="J777" s="8" t="s">
        <v>27</v>
      </c>
      <c r="K777" s="9">
        <v>5</v>
      </c>
      <c r="L777" s="9">
        <v>790</v>
      </c>
      <c r="M777" s="9">
        <f t="shared" si="12"/>
        <v>3950</v>
      </c>
    </row>
    <row r="778" spans="6:13" x14ac:dyDescent="0.3">
      <c r="F778" s="7">
        <v>44379</v>
      </c>
      <c r="G778" s="8" t="s">
        <v>8</v>
      </c>
      <c r="H778" s="8" t="s">
        <v>9</v>
      </c>
      <c r="I778" s="8" t="s">
        <v>29</v>
      </c>
      <c r="J778" s="8" t="s">
        <v>30</v>
      </c>
      <c r="K778" s="9">
        <v>6</v>
      </c>
      <c r="L778" s="9">
        <v>2001</v>
      </c>
      <c r="M778" s="9">
        <f t="shared" si="12"/>
        <v>12006</v>
      </c>
    </row>
    <row r="779" spans="6:13" x14ac:dyDescent="0.3">
      <c r="F779" s="7">
        <v>44379</v>
      </c>
      <c r="G779" s="8" t="s">
        <v>12</v>
      </c>
      <c r="H779" s="8" t="s">
        <v>13</v>
      </c>
      <c r="I779" s="8" t="s">
        <v>31</v>
      </c>
      <c r="J779" s="8" t="s">
        <v>30</v>
      </c>
      <c r="K779" s="9">
        <v>37</v>
      </c>
      <c r="L779" s="9">
        <v>75</v>
      </c>
      <c r="M779" s="9">
        <f t="shared" si="12"/>
        <v>2775</v>
      </c>
    </row>
    <row r="780" spans="6:13" x14ac:dyDescent="0.3">
      <c r="F780" s="7">
        <v>44379</v>
      </c>
      <c r="G780" s="8" t="s">
        <v>15</v>
      </c>
      <c r="H780" s="8" t="s">
        <v>13</v>
      </c>
      <c r="I780" s="8" t="s">
        <v>31</v>
      </c>
      <c r="J780" s="8" t="s">
        <v>30</v>
      </c>
      <c r="K780" s="9">
        <v>14</v>
      </c>
      <c r="L780" s="9">
        <v>315</v>
      </c>
      <c r="M780" s="9">
        <f t="shared" si="12"/>
        <v>4410</v>
      </c>
    </row>
    <row r="781" spans="6:13" x14ac:dyDescent="0.3">
      <c r="F781" s="7">
        <v>44379</v>
      </c>
      <c r="G781" s="8" t="s">
        <v>16</v>
      </c>
      <c r="H781" s="8" t="s">
        <v>9</v>
      </c>
      <c r="I781" s="8" t="s">
        <v>29</v>
      </c>
      <c r="J781" s="8" t="s">
        <v>30</v>
      </c>
      <c r="K781" s="9">
        <v>4</v>
      </c>
      <c r="L781" s="9">
        <v>1080</v>
      </c>
      <c r="M781" s="9">
        <f t="shared" si="12"/>
        <v>4320</v>
      </c>
    </row>
    <row r="782" spans="6:13" x14ac:dyDescent="0.3">
      <c r="F782" s="7">
        <v>44379</v>
      </c>
      <c r="G782" s="8" t="s">
        <v>17</v>
      </c>
      <c r="H782" s="8" t="s">
        <v>18</v>
      </c>
      <c r="I782" s="8" t="s">
        <v>29</v>
      </c>
      <c r="J782" s="8" t="s">
        <v>30</v>
      </c>
      <c r="K782" s="9">
        <v>4</v>
      </c>
      <c r="L782" s="9">
        <v>1575</v>
      </c>
      <c r="M782" s="9">
        <f t="shared" si="12"/>
        <v>6300</v>
      </c>
    </row>
    <row r="783" spans="6:13" x14ac:dyDescent="0.3">
      <c r="F783" s="7">
        <v>44379</v>
      </c>
      <c r="G783" s="8" t="s">
        <v>19</v>
      </c>
      <c r="H783" s="8" t="s">
        <v>18</v>
      </c>
      <c r="I783" s="8" t="s">
        <v>29</v>
      </c>
      <c r="J783" s="8" t="s">
        <v>30</v>
      </c>
      <c r="K783" s="9">
        <v>11</v>
      </c>
      <c r="L783" s="9">
        <v>790</v>
      </c>
      <c r="M783" s="9">
        <f t="shared" si="12"/>
        <v>8690</v>
      </c>
    </row>
    <row r="784" spans="6:13" x14ac:dyDescent="0.3">
      <c r="F784" s="7">
        <v>44386</v>
      </c>
      <c r="G784" s="8" t="s">
        <v>8</v>
      </c>
      <c r="H784" s="8" t="s">
        <v>9</v>
      </c>
      <c r="I784" s="8" t="s">
        <v>14</v>
      </c>
      <c r="J784" s="8" t="s">
        <v>11</v>
      </c>
      <c r="K784" s="9">
        <v>6</v>
      </c>
      <c r="L784" s="9">
        <v>2001</v>
      </c>
      <c r="M784" s="9">
        <f t="shared" si="12"/>
        <v>12006</v>
      </c>
    </row>
    <row r="785" spans="6:13" x14ac:dyDescent="0.3">
      <c r="F785" s="7">
        <v>44386</v>
      </c>
      <c r="G785" s="8" t="s">
        <v>12</v>
      </c>
      <c r="H785" s="8" t="s">
        <v>13</v>
      </c>
      <c r="I785" s="8" t="s">
        <v>14</v>
      </c>
      <c r="J785" s="8" t="s">
        <v>11</v>
      </c>
      <c r="K785" s="9">
        <v>60</v>
      </c>
      <c r="L785" s="9">
        <v>75</v>
      </c>
      <c r="M785" s="9">
        <f t="shared" si="12"/>
        <v>4500</v>
      </c>
    </row>
    <row r="786" spans="6:13" x14ac:dyDescent="0.3">
      <c r="F786" s="7">
        <v>44386</v>
      </c>
      <c r="G786" s="8" t="s">
        <v>15</v>
      </c>
      <c r="H786" s="8" t="s">
        <v>13</v>
      </c>
      <c r="I786" s="8" t="s">
        <v>14</v>
      </c>
      <c r="J786" s="8" t="s">
        <v>11</v>
      </c>
      <c r="K786" s="9">
        <v>6</v>
      </c>
      <c r="L786" s="9">
        <v>315</v>
      </c>
      <c r="M786" s="9">
        <f t="shared" si="12"/>
        <v>1890</v>
      </c>
    </row>
    <row r="787" spans="6:13" x14ac:dyDescent="0.3">
      <c r="F787" s="7">
        <v>44386</v>
      </c>
      <c r="G787" s="8" t="s">
        <v>16</v>
      </c>
      <c r="H787" s="8" t="s">
        <v>9</v>
      </c>
      <c r="I787" s="8" t="s">
        <v>14</v>
      </c>
      <c r="J787" s="8" t="s">
        <v>11</v>
      </c>
      <c r="K787" s="9">
        <v>6</v>
      </c>
      <c r="L787" s="9">
        <v>1080</v>
      </c>
      <c r="M787" s="9">
        <f t="shared" si="12"/>
        <v>6480</v>
      </c>
    </row>
    <row r="788" spans="6:13" x14ac:dyDescent="0.3">
      <c r="F788" s="7">
        <v>44386</v>
      </c>
      <c r="G788" s="8" t="s">
        <v>17</v>
      </c>
      <c r="H788" s="8" t="s">
        <v>18</v>
      </c>
      <c r="I788" s="8" t="s">
        <v>10</v>
      </c>
      <c r="J788" s="8" t="s">
        <v>11</v>
      </c>
      <c r="K788" s="9">
        <v>3</v>
      </c>
      <c r="L788" s="9">
        <v>1575</v>
      </c>
      <c r="M788" s="9">
        <f t="shared" si="12"/>
        <v>4725</v>
      </c>
    </row>
    <row r="789" spans="6:13" x14ac:dyDescent="0.3">
      <c r="F789" s="7">
        <v>44386</v>
      </c>
      <c r="G789" s="8" t="s">
        <v>19</v>
      </c>
      <c r="H789" s="8" t="s">
        <v>18</v>
      </c>
      <c r="I789" s="8" t="s">
        <v>10</v>
      </c>
      <c r="J789" s="8" t="s">
        <v>11</v>
      </c>
      <c r="K789" s="9">
        <v>7</v>
      </c>
      <c r="L789" s="9">
        <v>790</v>
      </c>
      <c r="M789" s="9">
        <f t="shared" si="12"/>
        <v>5530</v>
      </c>
    </row>
    <row r="790" spans="6:13" x14ac:dyDescent="0.3">
      <c r="F790" s="7">
        <v>44386</v>
      </c>
      <c r="G790" s="8" t="s">
        <v>8</v>
      </c>
      <c r="H790" s="8" t="s">
        <v>9</v>
      </c>
      <c r="I790" s="8" t="s">
        <v>20</v>
      </c>
      <c r="J790" s="8" t="s">
        <v>21</v>
      </c>
      <c r="K790" s="9">
        <v>4</v>
      </c>
      <c r="L790" s="9">
        <v>2001</v>
      </c>
      <c r="M790" s="9">
        <f t="shared" si="12"/>
        <v>8004</v>
      </c>
    </row>
    <row r="791" spans="6:13" x14ac:dyDescent="0.3">
      <c r="F791" s="7">
        <v>44386</v>
      </c>
      <c r="G791" s="8" t="s">
        <v>12</v>
      </c>
      <c r="H791" s="8" t="s">
        <v>13</v>
      </c>
      <c r="I791" s="8" t="s">
        <v>22</v>
      </c>
      <c r="J791" s="8" t="s">
        <v>21</v>
      </c>
      <c r="K791" s="9">
        <v>32</v>
      </c>
      <c r="L791" s="9">
        <v>75</v>
      </c>
      <c r="M791" s="9">
        <f t="shared" si="12"/>
        <v>2400</v>
      </c>
    </row>
    <row r="792" spans="6:13" x14ac:dyDescent="0.3">
      <c r="F792" s="7">
        <v>44386</v>
      </c>
      <c r="G792" s="8" t="s">
        <v>15</v>
      </c>
      <c r="H792" s="8" t="s">
        <v>13</v>
      </c>
      <c r="I792" s="8" t="s">
        <v>22</v>
      </c>
      <c r="J792" s="8" t="s">
        <v>21</v>
      </c>
      <c r="K792" s="9">
        <v>7</v>
      </c>
      <c r="L792" s="9">
        <v>315</v>
      </c>
      <c r="M792" s="9">
        <f t="shared" si="12"/>
        <v>2205</v>
      </c>
    </row>
    <row r="793" spans="6:13" x14ac:dyDescent="0.3">
      <c r="F793" s="7">
        <v>44386</v>
      </c>
      <c r="G793" s="8" t="s">
        <v>16</v>
      </c>
      <c r="H793" s="8" t="s">
        <v>9</v>
      </c>
      <c r="I793" s="8" t="s">
        <v>20</v>
      </c>
      <c r="J793" s="8" t="s">
        <v>21</v>
      </c>
      <c r="K793" s="9">
        <v>3</v>
      </c>
      <c r="L793" s="9">
        <v>1080</v>
      </c>
      <c r="M793" s="9">
        <f t="shared" si="12"/>
        <v>3240</v>
      </c>
    </row>
    <row r="794" spans="6:13" x14ac:dyDescent="0.3">
      <c r="F794" s="7">
        <v>44386</v>
      </c>
      <c r="G794" s="8" t="s">
        <v>17</v>
      </c>
      <c r="H794" s="8" t="s">
        <v>18</v>
      </c>
      <c r="I794" s="8" t="s">
        <v>22</v>
      </c>
      <c r="J794" s="8" t="s">
        <v>21</v>
      </c>
      <c r="K794" s="9">
        <v>2</v>
      </c>
      <c r="L794" s="9">
        <v>1575</v>
      </c>
      <c r="M794" s="9">
        <f t="shared" si="12"/>
        <v>3150</v>
      </c>
    </row>
    <row r="795" spans="6:13" x14ac:dyDescent="0.3">
      <c r="F795" s="7">
        <v>44386</v>
      </c>
      <c r="G795" s="8" t="s">
        <v>19</v>
      </c>
      <c r="H795" s="8" t="s">
        <v>18</v>
      </c>
      <c r="I795" s="8" t="s">
        <v>22</v>
      </c>
      <c r="J795" s="8" t="s">
        <v>21</v>
      </c>
      <c r="K795" s="9">
        <v>6</v>
      </c>
      <c r="L795" s="9">
        <v>790</v>
      </c>
      <c r="M795" s="9">
        <f t="shared" si="12"/>
        <v>4740</v>
      </c>
    </row>
    <row r="796" spans="6:13" x14ac:dyDescent="0.3">
      <c r="F796" s="7">
        <v>44386</v>
      </c>
      <c r="G796" s="8" t="s">
        <v>8</v>
      </c>
      <c r="H796" s="8" t="s">
        <v>9</v>
      </c>
      <c r="I796" s="8" t="s">
        <v>23</v>
      </c>
      <c r="J796" s="8" t="s">
        <v>24</v>
      </c>
      <c r="K796" s="9">
        <v>5</v>
      </c>
      <c r="L796" s="9">
        <v>2001</v>
      </c>
      <c r="M796" s="9">
        <f t="shared" si="12"/>
        <v>10005</v>
      </c>
    </row>
    <row r="797" spans="6:13" x14ac:dyDescent="0.3">
      <c r="F797" s="7">
        <v>44386</v>
      </c>
      <c r="G797" s="8" t="s">
        <v>12</v>
      </c>
      <c r="H797" s="8" t="s">
        <v>13</v>
      </c>
      <c r="I797" s="8" t="s">
        <v>23</v>
      </c>
      <c r="J797" s="8" t="s">
        <v>24</v>
      </c>
      <c r="K797" s="9">
        <v>33</v>
      </c>
      <c r="L797" s="9">
        <v>75</v>
      </c>
      <c r="M797" s="9">
        <f t="shared" si="12"/>
        <v>2475</v>
      </c>
    </row>
    <row r="798" spans="6:13" x14ac:dyDescent="0.3">
      <c r="F798" s="7">
        <v>44386</v>
      </c>
      <c r="G798" s="8" t="s">
        <v>15</v>
      </c>
      <c r="H798" s="8" t="s">
        <v>13</v>
      </c>
      <c r="I798" s="8" t="s">
        <v>23</v>
      </c>
      <c r="J798" s="8" t="s">
        <v>24</v>
      </c>
      <c r="K798" s="9">
        <v>7</v>
      </c>
      <c r="L798" s="9">
        <v>315</v>
      </c>
      <c r="M798" s="9">
        <f t="shared" si="12"/>
        <v>2205</v>
      </c>
    </row>
    <row r="799" spans="6:13" x14ac:dyDescent="0.3">
      <c r="F799" s="7">
        <v>44386</v>
      </c>
      <c r="G799" s="8" t="s">
        <v>16</v>
      </c>
      <c r="H799" s="8" t="s">
        <v>9</v>
      </c>
      <c r="I799" s="8" t="s">
        <v>23</v>
      </c>
      <c r="J799" s="8" t="s">
        <v>24</v>
      </c>
      <c r="K799" s="9">
        <v>5</v>
      </c>
      <c r="L799" s="9">
        <v>1080</v>
      </c>
      <c r="M799" s="9">
        <f t="shared" si="12"/>
        <v>5400</v>
      </c>
    </row>
    <row r="800" spans="6:13" x14ac:dyDescent="0.3">
      <c r="F800" s="7">
        <v>44386</v>
      </c>
      <c r="G800" s="8" t="s">
        <v>17</v>
      </c>
      <c r="H800" s="8" t="s">
        <v>18</v>
      </c>
      <c r="I800" s="8" t="s">
        <v>25</v>
      </c>
      <c r="J800" s="8" t="s">
        <v>24</v>
      </c>
      <c r="K800" s="9">
        <v>4</v>
      </c>
      <c r="L800" s="9">
        <v>1575</v>
      </c>
      <c r="M800" s="9">
        <f t="shared" si="12"/>
        <v>6300</v>
      </c>
    </row>
    <row r="801" spans="6:13" x14ac:dyDescent="0.3">
      <c r="F801" s="7">
        <v>44386</v>
      </c>
      <c r="G801" s="8" t="s">
        <v>19</v>
      </c>
      <c r="H801" s="8" t="s">
        <v>18</v>
      </c>
      <c r="I801" s="8" t="s">
        <v>25</v>
      </c>
      <c r="J801" s="8" t="s">
        <v>24</v>
      </c>
      <c r="K801" s="9">
        <v>7</v>
      </c>
      <c r="L801" s="9">
        <v>790</v>
      </c>
      <c r="M801" s="9">
        <f t="shared" si="12"/>
        <v>5530</v>
      </c>
    </row>
    <row r="802" spans="6:13" x14ac:dyDescent="0.3">
      <c r="F802" s="7">
        <v>44386</v>
      </c>
      <c r="G802" s="8" t="s">
        <v>8</v>
      </c>
      <c r="H802" s="8" t="s">
        <v>9</v>
      </c>
      <c r="I802" s="8" t="s">
        <v>26</v>
      </c>
      <c r="J802" s="8" t="s">
        <v>27</v>
      </c>
      <c r="K802" s="9">
        <v>4</v>
      </c>
      <c r="L802" s="9">
        <v>2001</v>
      </c>
      <c r="M802" s="9">
        <f t="shared" si="12"/>
        <v>8004</v>
      </c>
    </row>
    <row r="803" spans="6:13" x14ac:dyDescent="0.3">
      <c r="F803" s="7">
        <v>44386</v>
      </c>
      <c r="G803" s="8" t="s">
        <v>12</v>
      </c>
      <c r="H803" s="8" t="s">
        <v>13</v>
      </c>
      <c r="I803" s="8" t="s">
        <v>28</v>
      </c>
      <c r="J803" s="8" t="s">
        <v>27</v>
      </c>
      <c r="K803" s="9">
        <v>54</v>
      </c>
      <c r="L803" s="9">
        <v>75</v>
      </c>
      <c r="M803" s="9">
        <f t="shared" si="12"/>
        <v>4050</v>
      </c>
    </row>
    <row r="804" spans="6:13" x14ac:dyDescent="0.3">
      <c r="F804" s="7">
        <v>44386</v>
      </c>
      <c r="G804" s="8" t="s">
        <v>15</v>
      </c>
      <c r="H804" s="8" t="s">
        <v>13</v>
      </c>
      <c r="I804" s="8" t="s">
        <v>26</v>
      </c>
      <c r="J804" s="8" t="s">
        <v>27</v>
      </c>
      <c r="K804" s="9">
        <v>12</v>
      </c>
      <c r="L804" s="9">
        <v>315</v>
      </c>
      <c r="M804" s="9">
        <f t="shared" si="12"/>
        <v>3780</v>
      </c>
    </row>
    <row r="805" spans="6:13" x14ac:dyDescent="0.3">
      <c r="F805" s="7">
        <v>44386</v>
      </c>
      <c r="G805" s="8" t="s">
        <v>16</v>
      </c>
      <c r="H805" s="8" t="s">
        <v>9</v>
      </c>
      <c r="I805" s="8" t="s">
        <v>26</v>
      </c>
      <c r="J805" s="8" t="s">
        <v>27</v>
      </c>
      <c r="K805" s="9">
        <v>4</v>
      </c>
      <c r="L805" s="9">
        <v>1080</v>
      </c>
      <c r="M805" s="9">
        <f t="shared" si="12"/>
        <v>4320</v>
      </c>
    </row>
    <row r="806" spans="6:13" x14ac:dyDescent="0.3">
      <c r="F806" s="7">
        <v>44386</v>
      </c>
      <c r="G806" s="8" t="s">
        <v>17</v>
      </c>
      <c r="H806" s="8" t="s">
        <v>18</v>
      </c>
      <c r="I806" s="8" t="s">
        <v>28</v>
      </c>
      <c r="J806" s="8" t="s">
        <v>27</v>
      </c>
      <c r="K806" s="9">
        <v>4</v>
      </c>
      <c r="L806" s="9">
        <v>1575</v>
      </c>
      <c r="M806" s="9">
        <f t="shared" si="12"/>
        <v>6300</v>
      </c>
    </row>
    <row r="807" spans="6:13" x14ac:dyDescent="0.3">
      <c r="F807" s="7">
        <v>44386</v>
      </c>
      <c r="G807" s="8" t="s">
        <v>19</v>
      </c>
      <c r="H807" s="8" t="s">
        <v>18</v>
      </c>
      <c r="I807" s="8" t="s">
        <v>28</v>
      </c>
      <c r="J807" s="8" t="s">
        <v>27</v>
      </c>
      <c r="K807" s="9">
        <v>9</v>
      </c>
      <c r="L807" s="9">
        <v>790</v>
      </c>
      <c r="M807" s="9">
        <f t="shared" si="12"/>
        <v>7110</v>
      </c>
    </row>
    <row r="808" spans="6:13" x14ac:dyDescent="0.3">
      <c r="F808" s="7">
        <v>44386</v>
      </c>
      <c r="G808" s="8" t="s">
        <v>8</v>
      </c>
      <c r="H808" s="8" t="s">
        <v>9</v>
      </c>
      <c r="I808" s="8" t="s">
        <v>29</v>
      </c>
      <c r="J808" s="8" t="s">
        <v>30</v>
      </c>
      <c r="K808" s="9">
        <v>4</v>
      </c>
      <c r="L808" s="9">
        <v>2001</v>
      </c>
      <c r="M808" s="9">
        <f t="shared" si="12"/>
        <v>8004</v>
      </c>
    </row>
    <row r="809" spans="6:13" x14ac:dyDescent="0.3">
      <c r="F809" s="7">
        <v>44386</v>
      </c>
      <c r="G809" s="8" t="s">
        <v>12</v>
      </c>
      <c r="H809" s="8" t="s">
        <v>13</v>
      </c>
      <c r="I809" s="8" t="s">
        <v>31</v>
      </c>
      <c r="J809" s="8" t="s">
        <v>30</v>
      </c>
      <c r="K809" s="9">
        <v>52</v>
      </c>
      <c r="L809" s="9">
        <v>75</v>
      </c>
      <c r="M809" s="9">
        <f t="shared" si="12"/>
        <v>3900</v>
      </c>
    </row>
    <row r="810" spans="6:13" x14ac:dyDescent="0.3">
      <c r="F810" s="7">
        <v>44386</v>
      </c>
      <c r="G810" s="8" t="s">
        <v>15</v>
      </c>
      <c r="H810" s="8" t="s">
        <v>13</v>
      </c>
      <c r="I810" s="8" t="s">
        <v>31</v>
      </c>
      <c r="J810" s="8" t="s">
        <v>30</v>
      </c>
      <c r="K810" s="9">
        <v>7</v>
      </c>
      <c r="L810" s="9">
        <v>315</v>
      </c>
      <c r="M810" s="9">
        <f t="shared" si="12"/>
        <v>2205</v>
      </c>
    </row>
    <row r="811" spans="6:13" x14ac:dyDescent="0.3">
      <c r="F811" s="7">
        <v>44386</v>
      </c>
      <c r="G811" s="8" t="s">
        <v>16</v>
      </c>
      <c r="H811" s="8" t="s">
        <v>9</v>
      </c>
      <c r="I811" s="8" t="s">
        <v>29</v>
      </c>
      <c r="J811" s="8" t="s">
        <v>30</v>
      </c>
      <c r="K811" s="9">
        <v>4</v>
      </c>
      <c r="L811" s="9">
        <v>1080</v>
      </c>
      <c r="M811" s="9">
        <f t="shared" si="12"/>
        <v>4320</v>
      </c>
    </row>
    <row r="812" spans="6:13" x14ac:dyDescent="0.3">
      <c r="F812" s="7">
        <v>44386</v>
      </c>
      <c r="G812" s="8" t="s">
        <v>17</v>
      </c>
      <c r="H812" s="8" t="s">
        <v>18</v>
      </c>
      <c r="I812" s="8" t="s">
        <v>29</v>
      </c>
      <c r="J812" s="8" t="s">
        <v>30</v>
      </c>
      <c r="K812" s="9">
        <v>4</v>
      </c>
      <c r="L812" s="9">
        <v>1575</v>
      </c>
      <c r="M812" s="9">
        <f t="shared" si="12"/>
        <v>6300</v>
      </c>
    </row>
    <row r="813" spans="6:13" x14ac:dyDescent="0.3">
      <c r="F813" s="7">
        <v>44386</v>
      </c>
      <c r="G813" s="8" t="s">
        <v>19</v>
      </c>
      <c r="H813" s="8" t="s">
        <v>18</v>
      </c>
      <c r="I813" s="8" t="s">
        <v>29</v>
      </c>
      <c r="J813" s="8" t="s">
        <v>30</v>
      </c>
      <c r="K813" s="9">
        <v>6</v>
      </c>
      <c r="L813" s="9">
        <v>790</v>
      </c>
      <c r="M813" s="9">
        <f t="shared" si="12"/>
        <v>4740</v>
      </c>
    </row>
    <row r="814" spans="6:13" x14ac:dyDescent="0.3">
      <c r="F814" s="7">
        <v>44393</v>
      </c>
      <c r="G814" s="8" t="s">
        <v>8</v>
      </c>
      <c r="H814" s="8" t="s">
        <v>9</v>
      </c>
      <c r="I814" s="8" t="s">
        <v>14</v>
      </c>
      <c r="J814" s="8" t="s">
        <v>11</v>
      </c>
      <c r="K814" s="9">
        <v>6</v>
      </c>
      <c r="L814" s="9">
        <v>2001</v>
      </c>
      <c r="M814" s="9">
        <f t="shared" si="12"/>
        <v>12006</v>
      </c>
    </row>
    <row r="815" spans="6:13" x14ac:dyDescent="0.3">
      <c r="F815" s="7">
        <v>44393</v>
      </c>
      <c r="G815" s="8" t="s">
        <v>12</v>
      </c>
      <c r="H815" s="8" t="s">
        <v>13</v>
      </c>
      <c r="I815" s="8" t="s">
        <v>14</v>
      </c>
      <c r="J815" s="8" t="s">
        <v>11</v>
      </c>
      <c r="K815" s="9">
        <v>33</v>
      </c>
      <c r="L815" s="9">
        <v>75</v>
      </c>
      <c r="M815" s="9">
        <f t="shared" si="12"/>
        <v>2475</v>
      </c>
    </row>
    <row r="816" spans="6:13" x14ac:dyDescent="0.3">
      <c r="F816" s="7">
        <v>44393</v>
      </c>
      <c r="G816" s="8" t="s">
        <v>15</v>
      </c>
      <c r="H816" s="8" t="s">
        <v>13</v>
      </c>
      <c r="I816" s="8" t="s">
        <v>14</v>
      </c>
      <c r="J816" s="8" t="s">
        <v>11</v>
      </c>
      <c r="K816" s="9">
        <v>8</v>
      </c>
      <c r="L816" s="9">
        <v>315</v>
      </c>
      <c r="M816" s="9">
        <f t="shared" si="12"/>
        <v>2520</v>
      </c>
    </row>
    <row r="817" spans="6:13" x14ac:dyDescent="0.3">
      <c r="F817" s="7">
        <v>44393</v>
      </c>
      <c r="G817" s="8" t="s">
        <v>16</v>
      </c>
      <c r="H817" s="8" t="s">
        <v>9</v>
      </c>
      <c r="I817" s="8" t="s">
        <v>14</v>
      </c>
      <c r="J817" s="8" t="s">
        <v>11</v>
      </c>
      <c r="K817" s="9">
        <v>5</v>
      </c>
      <c r="L817" s="9">
        <v>1080</v>
      </c>
      <c r="M817" s="9">
        <f t="shared" si="12"/>
        <v>5400</v>
      </c>
    </row>
    <row r="818" spans="6:13" x14ac:dyDescent="0.3">
      <c r="F818" s="7">
        <v>44393</v>
      </c>
      <c r="G818" s="8" t="s">
        <v>17</v>
      </c>
      <c r="H818" s="8" t="s">
        <v>18</v>
      </c>
      <c r="I818" s="8" t="s">
        <v>10</v>
      </c>
      <c r="J818" s="8" t="s">
        <v>11</v>
      </c>
      <c r="K818" s="9">
        <v>3</v>
      </c>
      <c r="L818" s="9">
        <v>1575</v>
      </c>
      <c r="M818" s="9">
        <f t="shared" si="12"/>
        <v>4725</v>
      </c>
    </row>
    <row r="819" spans="6:13" x14ac:dyDescent="0.3">
      <c r="F819" s="7">
        <v>44393</v>
      </c>
      <c r="G819" s="8" t="s">
        <v>19</v>
      </c>
      <c r="H819" s="8" t="s">
        <v>18</v>
      </c>
      <c r="I819" s="8" t="s">
        <v>10</v>
      </c>
      <c r="J819" s="8" t="s">
        <v>11</v>
      </c>
      <c r="K819" s="9">
        <v>10</v>
      </c>
      <c r="L819" s="9">
        <v>790</v>
      </c>
      <c r="M819" s="9">
        <f t="shared" si="12"/>
        <v>7900</v>
      </c>
    </row>
    <row r="820" spans="6:13" x14ac:dyDescent="0.3">
      <c r="F820" s="7">
        <v>44393</v>
      </c>
      <c r="G820" s="8" t="s">
        <v>8</v>
      </c>
      <c r="H820" s="8" t="s">
        <v>9</v>
      </c>
      <c r="I820" s="8" t="s">
        <v>20</v>
      </c>
      <c r="J820" s="8" t="s">
        <v>21</v>
      </c>
      <c r="K820" s="9">
        <v>5</v>
      </c>
      <c r="L820" s="9">
        <v>2001</v>
      </c>
      <c r="M820" s="9">
        <f t="shared" si="12"/>
        <v>10005</v>
      </c>
    </row>
    <row r="821" spans="6:13" x14ac:dyDescent="0.3">
      <c r="F821" s="7">
        <v>44393</v>
      </c>
      <c r="G821" s="8" t="s">
        <v>12</v>
      </c>
      <c r="H821" s="8" t="s">
        <v>13</v>
      </c>
      <c r="I821" s="8" t="s">
        <v>22</v>
      </c>
      <c r="J821" s="8" t="s">
        <v>21</v>
      </c>
      <c r="K821" s="9">
        <v>60</v>
      </c>
      <c r="L821" s="9">
        <v>75</v>
      </c>
      <c r="M821" s="9">
        <f t="shared" si="12"/>
        <v>4500</v>
      </c>
    </row>
    <row r="822" spans="6:13" x14ac:dyDescent="0.3">
      <c r="F822" s="7">
        <v>44393</v>
      </c>
      <c r="G822" s="8" t="s">
        <v>15</v>
      </c>
      <c r="H822" s="8" t="s">
        <v>13</v>
      </c>
      <c r="I822" s="8" t="s">
        <v>22</v>
      </c>
      <c r="J822" s="8" t="s">
        <v>21</v>
      </c>
      <c r="K822" s="9">
        <v>5</v>
      </c>
      <c r="L822" s="9">
        <v>315</v>
      </c>
      <c r="M822" s="9">
        <f t="shared" si="12"/>
        <v>1575</v>
      </c>
    </row>
    <row r="823" spans="6:13" x14ac:dyDescent="0.3">
      <c r="F823" s="7">
        <v>44393</v>
      </c>
      <c r="G823" s="8" t="s">
        <v>16</v>
      </c>
      <c r="H823" s="8" t="s">
        <v>9</v>
      </c>
      <c r="I823" s="8" t="s">
        <v>20</v>
      </c>
      <c r="J823" s="8" t="s">
        <v>21</v>
      </c>
      <c r="K823" s="9">
        <v>6</v>
      </c>
      <c r="L823" s="9">
        <v>1080</v>
      </c>
      <c r="M823" s="9">
        <f t="shared" si="12"/>
        <v>6480</v>
      </c>
    </row>
    <row r="824" spans="6:13" x14ac:dyDescent="0.3">
      <c r="F824" s="7">
        <v>44393</v>
      </c>
      <c r="G824" s="8" t="s">
        <v>17</v>
      </c>
      <c r="H824" s="8" t="s">
        <v>18</v>
      </c>
      <c r="I824" s="8" t="s">
        <v>22</v>
      </c>
      <c r="J824" s="8" t="s">
        <v>21</v>
      </c>
      <c r="K824" s="9">
        <v>5</v>
      </c>
      <c r="L824" s="9">
        <v>1575</v>
      </c>
      <c r="M824" s="9">
        <f t="shared" si="12"/>
        <v>7875</v>
      </c>
    </row>
    <row r="825" spans="6:13" x14ac:dyDescent="0.3">
      <c r="F825" s="7">
        <v>44393</v>
      </c>
      <c r="G825" s="8" t="s">
        <v>19</v>
      </c>
      <c r="H825" s="8" t="s">
        <v>18</v>
      </c>
      <c r="I825" s="8" t="s">
        <v>22</v>
      </c>
      <c r="J825" s="8" t="s">
        <v>21</v>
      </c>
      <c r="K825" s="9">
        <v>7</v>
      </c>
      <c r="L825" s="9">
        <v>790</v>
      </c>
      <c r="M825" s="9">
        <f t="shared" si="12"/>
        <v>5530</v>
      </c>
    </row>
    <row r="826" spans="6:13" x14ac:dyDescent="0.3">
      <c r="F826" s="7">
        <v>44393</v>
      </c>
      <c r="G826" s="8" t="s">
        <v>8</v>
      </c>
      <c r="H826" s="8" t="s">
        <v>9</v>
      </c>
      <c r="I826" s="8" t="s">
        <v>23</v>
      </c>
      <c r="J826" s="8" t="s">
        <v>24</v>
      </c>
      <c r="K826" s="9">
        <v>6</v>
      </c>
      <c r="L826" s="9">
        <v>2001</v>
      </c>
      <c r="M826" s="9">
        <f t="shared" si="12"/>
        <v>12006</v>
      </c>
    </row>
    <row r="827" spans="6:13" x14ac:dyDescent="0.3">
      <c r="F827" s="7">
        <v>44393</v>
      </c>
      <c r="G827" s="8" t="s">
        <v>12</v>
      </c>
      <c r="H827" s="8" t="s">
        <v>13</v>
      </c>
      <c r="I827" s="8" t="s">
        <v>23</v>
      </c>
      <c r="J827" s="8" t="s">
        <v>24</v>
      </c>
      <c r="K827" s="9">
        <v>35</v>
      </c>
      <c r="L827" s="9">
        <v>75</v>
      </c>
      <c r="M827" s="9">
        <f t="shared" si="12"/>
        <v>2625</v>
      </c>
    </row>
    <row r="828" spans="6:13" x14ac:dyDescent="0.3">
      <c r="F828" s="7">
        <v>44393</v>
      </c>
      <c r="G828" s="8" t="s">
        <v>15</v>
      </c>
      <c r="H828" s="8" t="s">
        <v>13</v>
      </c>
      <c r="I828" s="8" t="s">
        <v>23</v>
      </c>
      <c r="J828" s="8" t="s">
        <v>24</v>
      </c>
      <c r="K828" s="9">
        <v>8</v>
      </c>
      <c r="L828" s="9">
        <v>315</v>
      </c>
      <c r="M828" s="9">
        <f t="shared" si="12"/>
        <v>2520</v>
      </c>
    </row>
    <row r="829" spans="6:13" x14ac:dyDescent="0.3">
      <c r="F829" s="7">
        <v>44393</v>
      </c>
      <c r="G829" s="8" t="s">
        <v>16</v>
      </c>
      <c r="H829" s="8" t="s">
        <v>9</v>
      </c>
      <c r="I829" s="8" t="s">
        <v>23</v>
      </c>
      <c r="J829" s="8" t="s">
        <v>24</v>
      </c>
      <c r="K829" s="9">
        <v>4</v>
      </c>
      <c r="L829" s="9">
        <v>1080</v>
      </c>
      <c r="M829" s="9">
        <f t="shared" si="12"/>
        <v>4320</v>
      </c>
    </row>
    <row r="830" spans="6:13" x14ac:dyDescent="0.3">
      <c r="F830" s="7">
        <v>44393</v>
      </c>
      <c r="G830" s="8" t="s">
        <v>17</v>
      </c>
      <c r="H830" s="8" t="s">
        <v>18</v>
      </c>
      <c r="I830" s="8" t="s">
        <v>25</v>
      </c>
      <c r="J830" s="8" t="s">
        <v>24</v>
      </c>
      <c r="K830" s="9">
        <v>3</v>
      </c>
      <c r="L830" s="9">
        <v>1575</v>
      </c>
      <c r="M830" s="9">
        <f t="shared" si="12"/>
        <v>4725</v>
      </c>
    </row>
    <row r="831" spans="6:13" x14ac:dyDescent="0.3">
      <c r="F831" s="7">
        <v>44393</v>
      </c>
      <c r="G831" s="8" t="s">
        <v>19</v>
      </c>
      <c r="H831" s="8" t="s">
        <v>18</v>
      </c>
      <c r="I831" s="8" t="s">
        <v>25</v>
      </c>
      <c r="J831" s="8" t="s">
        <v>24</v>
      </c>
      <c r="K831" s="9">
        <v>8</v>
      </c>
      <c r="L831" s="9">
        <v>790</v>
      </c>
      <c r="M831" s="9">
        <f t="shared" si="12"/>
        <v>6320</v>
      </c>
    </row>
    <row r="832" spans="6:13" x14ac:dyDescent="0.3">
      <c r="F832" s="7">
        <v>44393</v>
      </c>
      <c r="G832" s="8" t="s">
        <v>8</v>
      </c>
      <c r="H832" s="8" t="s">
        <v>9</v>
      </c>
      <c r="I832" s="8" t="s">
        <v>26</v>
      </c>
      <c r="J832" s="8" t="s">
        <v>27</v>
      </c>
      <c r="K832" s="9">
        <v>5</v>
      </c>
      <c r="L832" s="9">
        <v>2001</v>
      </c>
      <c r="M832" s="9">
        <f t="shared" si="12"/>
        <v>10005</v>
      </c>
    </row>
    <row r="833" spans="6:13" x14ac:dyDescent="0.3">
      <c r="F833" s="7">
        <v>44393</v>
      </c>
      <c r="G833" s="8" t="s">
        <v>12</v>
      </c>
      <c r="H833" s="8" t="s">
        <v>13</v>
      </c>
      <c r="I833" s="8" t="s">
        <v>26</v>
      </c>
      <c r="J833" s="8" t="s">
        <v>27</v>
      </c>
      <c r="K833" s="9">
        <v>37</v>
      </c>
      <c r="L833" s="9">
        <v>75</v>
      </c>
      <c r="M833" s="9">
        <f t="shared" si="12"/>
        <v>2775</v>
      </c>
    </row>
    <row r="834" spans="6:13" x14ac:dyDescent="0.3">
      <c r="F834" s="7">
        <v>44393</v>
      </c>
      <c r="G834" s="8" t="s">
        <v>15</v>
      </c>
      <c r="H834" s="8" t="s">
        <v>13</v>
      </c>
      <c r="I834" s="8" t="s">
        <v>26</v>
      </c>
      <c r="J834" s="8" t="s">
        <v>27</v>
      </c>
      <c r="K834" s="9">
        <v>7</v>
      </c>
      <c r="L834" s="9">
        <v>315</v>
      </c>
      <c r="M834" s="9">
        <f t="shared" si="12"/>
        <v>2205</v>
      </c>
    </row>
    <row r="835" spans="6:13" x14ac:dyDescent="0.3">
      <c r="F835" s="7">
        <v>44393</v>
      </c>
      <c r="G835" s="8" t="s">
        <v>16</v>
      </c>
      <c r="H835" s="8" t="s">
        <v>9</v>
      </c>
      <c r="I835" s="8" t="s">
        <v>26</v>
      </c>
      <c r="J835" s="8" t="s">
        <v>27</v>
      </c>
      <c r="K835" s="9">
        <v>2</v>
      </c>
      <c r="L835" s="9">
        <v>1080</v>
      </c>
      <c r="M835" s="9">
        <f t="shared" si="12"/>
        <v>2160</v>
      </c>
    </row>
    <row r="836" spans="6:13" x14ac:dyDescent="0.3">
      <c r="F836" s="7">
        <v>44393</v>
      </c>
      <c r="G836" s="8" t="s">
        <v>17</v>
      </c>
      <c r="H836" s="8" t="s">
        <v>18</v>
      </c>
      <c r="I836" s="8" t="s">
        <v>28</v>
      </c>
      <c r="J836" s="8" t="s">
        <v>27</v>
      </c>
      <c r="K836" s="9">
        <v>4</v>
      </c>
      <c r="L836" s="9">
        <v>1575</v>
      </c>
      <c r="M836" s="9">
        <f t="shared" ref="M836:M899" si="13">K836*L836</f>
        <v>6300</v>
      </c>
    </row>
    <row r="837" spans="6:13" x14ac:dyDescent="0.3">
      <c r="F837" s="7">
        <v>44393</v>
      </c>
      <c r="G837" s="8" t="s">
        <v>19</v>
      </c>
      <c r="H837" s="8" t="s">
        <v>18</v>
      </c>
      <c r="I837" s="8" t="s">
        <v>28</v>
      </c>
      <c r="J837" s="8" t="s">
        <v>27</v>
      </c>
      <c r="K837" s="9">
        <v>9</v>
      </c>
      <c r="L837" s="9">
        <v>790</v>
      </c>
      <c r="M837" s="9">
        <f t="shared" si="13"/>
        <v>7110</v>
      </c>
    </row>
    <row r="838" spans="6:13" x14ac:dyDescent="0.3">
      <c r="F838" s="7">
        <v>44393</v>
      </c>
      <c r="G838" s="8" t="s">
        <v>8</v>
      </c>
      <c r="H838" s="8" t="s">
        <v>9</v>
      </c>
      <c r="I838" s="8" t="s">
        <v>29</v>
      </c>
      <c r="J838" s="8" t="s">
        <v>30</v>
      </c>
      <c r="K838" s="9">
        <v>5</v>
      </c>
      <c r="L838" s="9">
        <v>2001</v>
      </c>
      <c r="M838" s="9">
        <f t="shared" si="13"/>
        <v>10005</v>
      </c>
    </row>
    <row r="839" spans="6:13" x14ac:dyDescent="0.3">
      <c r="F839" s="7">
        <v>44393</v>
      </c>
      <c r="G839" s="8" t="s">
        <v>12</v>
      </c>
      <c r="H839" s="8" t="s">
        <v>13</v>
      </c>
      <c r="I839" s="8" t="s">
        <v>31</v>
      </c>
      <c r="J839" s="8" t="s">
        <v>30</v>
      </c>
      <c r="K839" s="9">
        <v>38</v>
      </c>
      <c r="L839" s="9">
        <v>75</v>
      </c>
      <c r="M839" s="9">
        <f t="shared" si="13"/>
        <v>2850</v>
      </c>
    </row>
    <row r="840" spans="6:13" x14ac:dyDescent="0.3">
      <c r="F840" s="7">
        <v>44393</v>
      </c>
      <c r="G840" s="8" t="s">
        <v>15</v>
      </c>
      <c r="H840" s="8" t="s">
        <v>13</v>
      </c>
      <c r="I840" s="8" t="s">
        <v>31</v>
      </c>
      <c r="J840" s="8" t="s">
        <v>30</v>
      </c>
      <c r="K840" s="9">
        <v>9</v>
      </c>
      <c r="L840" s="9">
        <v>315</v>
      </c>
      <c r="M840" s="9">
        <f t="shared" si="13"/>
        <v>2835</v>
      </c>
    </row>
    <row r="841" spans="6:13" x14ac:dyDescent="0.3">
      <c r="F841" s="7">
        <v>44393</v>
      </c>
      <c r="G841" s="8" t="s">
        <v>16</v>
      </c>
      <c r="H841" s="8" t="s">
        <v>9</v>
      </c>
      <c r="I841" s="8" t="s">
        <v>29</v>
      </c>
      <c r="J841" s="8" t="s">
        <v>30</v>
      </c>
      <c r="K841" s="9">
        <v>5</v>
      </c>
      <c r="L841" s="9">
        <v>1080</v>
      </c>
      <c r="M841" s="9">
        <f t="shared" si="13"/>
        <v>5400</v>
      </c>
    </row>
    <row r="842" spans="6:13" x14ac:dyDescent="0.3">
      <c r="F842" s="7">
        <v>44393</v>
      </c>
      <c r="G842" s="8" t="s">
        <v>17</v>
      </c>
      <c r="H842" s="8" t="s">
        <v>18</v>
      </c>
      <c r="I842" s="8" t="s">
        <v>29</v>
      </c>
      <c r="J842" s="8" t="s">
        <v>30</v>
      </c>
      <c r="K842" s="9">
        <v>3</v>
      </c>
      <c r="L842" s="9">
        <v>1575</v>
      </c>
      <c r="M842" s="9">
        <f t="shared" si="13"/>
        <v>4725</v>
      </c>
    </row>
    <row r="843" spans="6:13" x14ac:dyDescent="0.3">
      <c r="F843" s="7">
        <v>44393</v>
      </c>
      <c r="G843" s="8" t="s">
        <v>19</v>
      </c>
      <c r="H843" s="8" t="s">
        <v>18</v>
      </c>
      <c r="I843" s="8" t="s">
        <v>29</v>
      </c>
      <c r="J843" s="8" t="s">
        <v>30</v>
      </c>
      <c r="K843" s="9">
        <v>6</v>
      </c>
      <c r="L843" s="9">
        <v>790</v>
      </c>
      <c r="M843" s="9">
        <f t="shared" si="13"/>
        <v>4740</v>
      </c>
    </row>
    <row r="844" spans="6:13" x14ac:dyDescent="0.3">
      <c r="F844" s="7">
        <v>44400</v>
      </c>
      <c r="G844" s="8" t="s">
        <v>8</v>
      </c>
      <c r="H844" s="8" t="s">
        <v>9</v>
      </c>
      <c r="I844" s="8" t="s">
        <v>14</v>
      </c>
      <c r="J844" s="8" t="s">
        <v>11</v>
      </c>
      <c r="K844" s="9">
        <v>6</v>
      </c>
      <c r="L844" s="9">
        <v>2001</v>
      </c>
      <c r="M844" s="9">
        <f t="shared" si="13"/>
        <v>12006</v>
      </c>
    </row>
    <row r="845" spans="6:13" x14ac:dyDescent="0.3">
      <c r="F845" s="7">
        <v>44400</v>
      </c>
      <c r="G845" s="8" t="s">
        <v>12</v>
      </c>
      <c r="H845" s="8" t="s">
        <v>13</v>
      </c>
      <c r="I845" s="8" t="s">
        <v>14</v>
      </c>
      <c r="J845" s="8" t="s">
        <v>11</v>
      </c>
      <c r="K845" s="9">
        <v>52</v>
      </c>
      <c r="L845" s="9">
        <v>75</v>
      </c>
      <c r="M845" s="9">
        <f t="shared" si="13"/>
        <v>3900</v>
      </c>
    </row>
    <row r="846" spans="6:13" x14ac:dyDescent="0.3">
      <c r="F846" s="7">
        <v>44400</v>
      </c>
      <c r="G846" s="8" t="s">
        <v>15</v>
      </c>
      <c r="H846" s="8" t="s">
        <v>13</v>
      </c>
      <c r="I846" s="8" t="s">
        <v>14</v>
      </c>
      <c r="J846" s="8" t="s">
        <v>11</v>
      </c>
      <c r="K846" s="9">
        <v>8</v>
      </c>
      <c r="L846" s="9">
        <v>315</v>
      </c>
      <c r="M846" s="9">
        <f t="shared" si="13"/>
        <v>2520</v>
      </c>
    </row>
    <row r="847" spans="6:13" x14ac:dyDescent="0.3">
      <c r="F847" s="7">
        <v>44400</v>
      </c>
      <c r="G847" s="8" t="s">
        <v>16</v>
      </c>
      <c r="H847" s="8" t="s">
        <v>9</v>
      </c>
      <c r="I847" s="8" t="s">
        <v>14</v>
      </c>
      <c r="J847" s="8" t="s">
        <v>11</v>
      </c>
      <c r="K847" s="9">
        <v>5</v>
      </c>
      <c r="L847" s="9">
        <v>1080</v>
      </c>
      <c r="M847" s="9">
        <f t="shared" si="13"/>
        <v>5400</v>
      </c>
    </row>
    <row r="848" spans="6:13" x14ac:dyDescent="0.3">
      <c r="F848" s="7">
        <v>44400</v>
      </c>
      <c r="G848" s="8" t="s">
        <v>17</v>
      </c>
      <c r="H848" s="8" t="s">
        <v>18</v>
      </c>
      <c r="I848" s="8" t="s">
        <v>10</v>
      </c>
      <c r="J848" s="8" t="s">
        <v>11</v>
      </c>
      <c r="K848" s="9">
        <v>5</v>
      </c>
      <c r="L848" s="9">
        <v>1575</v>
      </c>
      <c r="M848" s="9">
        <f t="shared" si="13"/>
        <v>7875</v>
      </c>
    </row>
    <row r="849" spans="6:13" x14ac:dyDescent="0.3">
      <c r="F849" s="7">
        <v>44400</v>
      </c>
      <c r="G849" s="8" t="s">
        <v>19</v>
      </c>
      <c r="H849" s="8" t="s">
        <v>18</v>
      </c>
      <c r="I849" s="8" t="s">
        <v>10</v>
      </c>
      <c r="J849" s="8" t="s">
        <v>11</v>
      </c>
      <c r="K849" s="9">
        <v>8</v>
      </c>
      <c r="L849" s="9">
        <v>790</v>
      </c>
      <c r="M849" s="9">
        <f t="shared" si="13"/>
        <v>6320</v>
      </c>
    </row>
    <row r="850" spans="6:13" x14ac:dyDescent="0.3">
      <c r="F850" s="7">
        <v>44400</v>
      </c>
      <c r="G850" s="8" t="s">
        <v>8</v>
      </c>
      <c r="H850" s="8" t="s">
        <v>9</v>
      </c>
      <c r="I850" s="8" t="s">
        <v>20</v>
      </c>
      <c r="J850" s="8" t="s">
        <v>21</v>
      </c>
      <c r="K850" s="9">
        <v>4</v>
      </c>
      <c r="L850" s="9">
        <v>2001</v>
      </c>
      <c r="M850" s="9">
        <f t="shared" si="13"/>
        <v>8004</v>
      </c>
    </row>
    <row r="851" spans="6:13" x14ac:dyDescent="0.3">
      <c r="F851" s="7">
        <v>44400</v>
      </c>
      <c r="G851" s="8" t="s">
        <v>12</v>
      </c>
      <c r="H851" s="8" t="s">
        <v>13</v>
      </c>
      <c r="I851" s="8" t="s">
        <v>22</v>
      </c>
      <c r="J851" s="8" t="s">
        <v>21</v>
      </c>
      <c r="K851" s="9">
        <v>32</v>
      </c>
      <c r="L851" s="9">
        <v>75</v>
      </c>
      <c r="M851" s="9">
        <f t="shared" si="13"/>
        <v>2400</v>
      </c>
    </row>
    <row r="852" spans="6:13" x14ac:dyDescent="0.3">
      <c r="F852" s="7">
        <v>44400</v>
      </c>
      <c r="G852" s="8" t="s">
        <v>15</v>
      </c>
      <c r="H852" s="8" t="s">
        <v>13</v>
      </c>
      <c r="I852" s="8" t="s">
        <v>22</v>
      </c>
      <c r="J852" s="8" t="s">
        <v>21</v>
      </c>
      <c r="K852" s="9">
        <v>9</v>
      </c>
      <c r="L852" s="9">
        <v>315</v>
      </c>
      <c r="M852" s="9">
        <f t="shared" si="13"/>
        <v>2835</v>
      </c>
    </row>
    <row r="853" spans="6:13" x14ac:dyDescent="0.3">
      <c r="F853" s="7">
        <v>44400</v>
      </c>
      <c r="G853" s="8" t="s">
        <v>16</v>
      </c>
      <c r="H853" s="8" t="s">
        <v>9</v>
      </c>
      <c r="I853" s="8" t="s">
        <v>20</v>
      </c>
      <c r="J853" s="8" t="s">
        <v>21</v>
      </c>
      <c r="K853" s="9">
        <v>3</v>
      </c>
      <c r="L853" s="9">
        <v>1080</v>
      </c>
      <c r="M853" s="9">
        <f t="shared" si="13"/>
        <v>3240</v>
      </c>
    </row>
    <row r="854" spans="6:13" x14ac:dyDescent="0.3">
      <c r="F854" s="7">
        <v>44400</v>
      </c>
      <c r="G854" s="8" t="s">
        <v>17</v>
      </c>
      <c r="H854" s="8" t="s">
        <v>18</v>
      </c>
      <c r="I854" s="8" t="s">
        <v>22</v>
      </c>
      <c r="J854" s="8" t="s">
        <v>21</v>
      </c>
      <c r="K854" s="9">
        <v>4</v>
      </c>
      <c r="L854" s="9">
        <v>1575</v>
      </c>
      <c r="M854" s="9">
        <f t="shared" si="13"/>
        <v>6300</v>
      </c>
    </row>
    <row r="855" spans="6:13" x14ac:dyDescent="0.3">
      <c r="F855" s="7">
        <v>44400</v>
      </c>
      <c r="G855" s="8" t="s">
        <v>19</v>
      </c>
      <c r="H855" s="8" t="s">
        <v>18</v>
      </c>
      <c r="I855" s="8" t="s">
        <v>22</v>
      </c>
      <c r="J855" s="8" t="s">
        <v>21</v>
      </c>
      <c r="K855" s="9">
        <v>8</v>
      </c>
      <c r="L855" s="9">
        <v>790</v>
      </c>
      <c r="M855" s="9">
        <f t="shared" si="13"/>
        <v>6320</v>
      </c>
    </row>
    <row r="856" spans="6:13" x14ac:dyDescent="0.3">
      <c r="F856" s="7">
        <v>44400</v>
      </c>
      <c r="G856" s="8" t="s">
        <v>8</v>
      </c>
      <c r="H856" s="8" t="s">
        <v>9</v>
      </c>
      <c r="I856" s="8" t="s">
        <v>23</v>
      </c>
      <c r="J856" s="8" t="s">
        <v>24</v>
      </c>
      <c r="K856" s="9">
        <v>4</v>
      </c>
      <c r="L856" s="9">
        <v>2001</v>
      </c>
      <c r="M856" s="9">
        <f t="shared" si="13"/>
        <v>8004</v>
      </c>
    </row>
    <row r="857" spans="6:13" x14ac:dyDescent="0.3">
      <c r="F857" s="7">
        <v>44400</v>
      </c>
      <c r="G857" s="8" t="s">
        <v>12</v>
      </c>
      <c r="H857" s="8" t="s">
        <v>13</v>
      </c>
      <c r="I857" s="8" t="s">
        <v>23</v>
      </c>
      <c r="J857" s="8" t="s">
        <v>24</v>
      </c>
      <c r="K857" s="9">
        <v>47</v>
      </c>
      <c r="L857" s="9">
        <v>75</v>
      </c>
      <c r="M857" s="9">
        <f t="shared" si="13"/>
        <v>3525</v>
      </c>
    </row>
    <row r="858" spans="6:13" x14ac:dyDescent="0.3">
      <c r="F858" s="7">
        <v>44400</v>
      </c>
      <c r="G858" s="8" t="s">
        <v>15</v>
      </c>
      <c r="H858" s="8" t="s">
        <v>13</v>
      </c>
      <c r="I858" s="8" t="s">
        <v>23</v>
      </c>
      <c r="J858" s="8" t="s">
        <v>24</v>
      </c>
      <c r="K858" s="9">
        <v>14</v>
      </c>
      <c r="L858" s="9">
        <v>315</v>
      </c>
      <c r="M858" s="9">
        <f t="shared" si="13"/>
        <v>4410</v>
      </c>
    </row>
    <row r="859" spans="6:13" x14ac:dyDescent="0.3">
      <c r="F859" s="7">
        <v>44400</v>
      </c>
      <c r="G859" s="8" t="s">
        <v>16</v>
      </c>
      <c r="H859" s="8" t="s">
        <v>9</v>
      </c>
      <c r="I859" s="8" t="s">
        <v>23</v>
      </c>
      <c r="J859" s="8" t="s">
        <v>24</v>
      </c>
      <c r="K859" s="9">
        <v>2</v>
      </c>
      <c r="L859" s="9">
        <v>1080</v>
      </c>
      <c r="M859" s="9">
        <f t="shared" si="13"/>
        <v>2160</v>
      </c>
    </row>
    <row r="860" spans="6:13" x14ac:dyDescent="0.3">
      <c r="F860" s="7">
        <v>44400</v>
      </c>
      <c r="G860" s="8" t="s">
        <v>17</v>
      </c>
      <c r="H860" s="8" t="s">
        <v>18</v>
      </c>
      <c r="I860" s="8" t="s">
        <v>25</v>
      </c>
      <c r="J860" s="8" t="s">
        <v>24</v>
      </c>
      <c r="K860" s="9">
        <v>5</v>
      </c>
      <c r="L860" s="9">
        <v>1575</v>
      </c>
      <c r="M860" s="9">
        <f t="shared" si="13"/>
        <v>7875</v>
      </c>
    </row>
    <row r="861" spans="6:13" x14ac:dyDescent="0.3">
      <c r="F861" s="7">
        <v>44400</v>
      </c>
      <c r="G861" s="8" t="s">
        <v>19</v>
      </c>
      <c r="H861" s="8" t="s">
        <v>18</v>
      </c>
      <c r="I861" s="8" t="s">
        <v>25</v>
      </c>
      <c r="J861" s="8" t="s">
        <v>24</v>
      </c>
      <c r="K861" s="9">
        <v>10</v>
      </c>
      <c r="L861" s="9">
        <v>790</v>
      </c>
      <c r="M861" s="9">
        <f t="shared" si="13"/>
        <v>7900</v>
      </c>
    </row>
    <row r="862" spans="6:13" x14ac:dyDescent="0.3">
      <c r="F862" s="7">
        <v>44400</v>
      </c>
      <c r="G862" s="8" t="s">
        <v>8</v>
      </c>
      <c r="H862" s="8" t="s">
        <v>9</v>
      </c>
      <c r="I862" s="8" t="s">
        <v>26</v>
      </c>
      <c r="J862" s="8" t="s">
        <v>27</v>
      </c>
      <c r="K862" s="9">
        <v>3</v>
      </c>
      <c r="L862" s="9">
        <v>2001</v>
      </c>
      <c r="M862" s="9">
        <f t="shared" si="13"/>
        <v>6003</v>
      </c>
    </row>
    <row r="863" spans="6:13" x14ac:dyDescent="0.3">
      <c r="F863" s="7">
        <v>44400</v>
      </c>
      <c r="G863" s="8" t="s">
        <v>12</v>
      </c>
      <c r="H863" s="8" t="s">
        <v>13</v>
      </c>
      <c r="I863" s="8" t="s">
        <v>26</v>
      </c>
      <c r="J863" s="8" t="s">
        <v>27</v>
      </c>
      <c r="K863" s="9">
        <v>49</v>
      </c>
      <c r="L863" s="9">
        <v>75</v>
      </c>
      <c r="M863" s="9">
        <f t="shared" si="13"/>
        <v>3675</v>
      </c>
    </row>
    <row r="864" spans="6:13" x14ac:dyDescent="0.3">
      <c r="F864" s="7">
        <v>44400</v>
      </c>
      <c r="G864" s="8" t="s">
        <v>15</v>
      </c>
      <c r="H864" s="8" t="s">
        <v>13</v>
      </c>
      <c r="I864" s="8" t="s">
        <v>26</v>
      </c>
      <c r="J864" s="8" t="s">
        <v>27</v>
      </c>
      <c r="K864" s="9">
        <v>15</v>
      </c>
      <c r="L864" s="9">
        <v>315</v>
      </c>
      <c r="M864" s="9">
        <f t="shared" si="13"/>
        <v>4725</v>
      </c>
    </row>
    <row r="865" spans="6:13" x14ac:dyDescent="0.3">
      <c r="F865" s="7">
        <v>44400</v>
      </c>
      <c r="G865" s="8" t="s">
        <v>16</v>
      </c>
      <c r="H865" s="8" t="s">
        <v>9</v>
      </c>
      <c r="I865" s="8" t="s">
        <v>26</v>
      </c>
      <c r="J865" s="8" t="s">
        <v>27</v>
      </c>
      <c r="K865" s="9">
        <v>6</v>
      </c>
      <c r="L865" s="9">
        <v>1080</v>
      </c>
      <c r="M865" s="9">
        <f t="shared" si="13"/>
        <v>6480</v>
      </c>
    </row>
    <row r="866" spans="6:13" x14ac:dyDescent="0.3">
      <c r="F866" s="7">
        <v>44400</v>
      </c>
      <c r="G866" s="8" t="s">
        <v>17</v>
      </c>
      <c r="H866" s="8" t="s">
        <v>18</v>
      </c>
      <c r="I866" s="8" t="s">
        <v>28</v>
      </c>
      <c r="J866" s="8" t="s">
        <v>27</v>
      </c>
      <c r="K866" s="9">
        <v>6</v>
      </c>
      <c r="L866" s="9">
        <v>1575</v>
      </c>
      <c r="M866" s="9">
        <f t="shared" si="13"/>
        <v>9450</v>
      </c>
    </row>
    <row r="867" spans="6:13" x14ac:dyDescent="0.3">
      <c r="F867" s="7">
        <v>44400</v>
      </c>
      <c r="G867" s="8" t="s">
        <v>19</v>
      </c>
      <c r="H867" s="8" t="s">
        <v>18</v>
      </c>
      <c r="I867" s="8" t="s">
        <v>28</v>
      </c>
      <c r="J867" s="8" t="s">
        <v>27</v>
      </c>
      <c r="K867" s="9">
        <v>8</v>
      </c>
      <c r="L867" s="9">
        <v>790</v>
      </c>
      <c r="M867" s="9">
        <f t="shared" si="13"/>
        <v>6320</v>
      </c>
    </row>
    <row r="868" spans="6:13" x14ac:dyDescent="0.3">
      <c r="F868" s="7">
        <v>44400</v>
      </c>
      <c r="G868" s="8" t="s">
        <v>8</v>
      </c>
      <c r="H868" s="8" t="s">
        <v>9</v>
      </c>
      <c r="I868" s="8" t="s">
        <v>29</v>
      </c>
      <c r="J868" s="8" t="s">
        <v>30</v>
      </c>
      <c r="K868" s="9">
        <v>4</v>
      </c>
      <c r="L868" s="9">
        <v>2001</v>
      </c>
      <c r="M868" s="9">
        <f t="shared" si="13"/>
        <v>8004</v>
      </c>
    </row>
    <row r="869" spans="6:13" x14ac:dyDescent="0.3">
      <c r="F869" s="7">
        <v>44400</v>
      </c>
      <c r="G869" s="8" t="s">
        <v>12</v>
      </c>
      <c r="H869" s="8" t="s">
        <v>13</v>
      </c>
      <c r="I869" s="8" t="s">
        <v>31</v>
      </c>
      <c r="J869" s="8" t="s">
        <v>30</v>
      </c>
      <c r="K869" s="9">
        <v>53</v>
      </c>
      <c r="L869" s="9">
        <v>75</v>
      </c>
      <c r="M869" s="9">
        <f t="shared" si="13"/>
        <v>3975</v>
      </c>
    </row>
    <row r="870" spans="6:13" x14ac:dyDescent="0.3">
      <c r="F870" s="7">
        <v>44400</v>
      </c>
      <c r="G870" s="8" t="s">
        <v>15</v>
      </c>
      <c r="H870" s="8" t="s">
        <v>13</v>
      </c>
      <c r="I870" s="8" t="s">
        <v>31</v>
      </c>
      <c r="J870" s="8" t="s">
        <v>30</v>
      </c>
      <c r="K870" s="9">
        <v>14</v>
      </c>
      <c r="L870" s="9">
        <v>315</v>
      </c>
      <c r="M870" s="9">
        <f t="shared" si="13"/>
        <v>4410</v>
      </c>
    </row>
    <row r="871" spans="6:13" x14ac:dyDescent="0.3">
      <c r="F871" s="7">
        <v>44400</v>
      </c>
      <c r="G871" s="8" t="s">
        <v>16</v>
      </c>
      <c r="H871" s="8" t="s">
        <v>9</v>
      </c>
      <c r="I871" s="8" t="s">
        <v>29</v>
      </c>
      <c r="J871" s="8" t="s">
        <v>30</v>
      </c>
      <c r="K871" s="9">
        <v>6</v>
      </c>
      <c r="L871" s="9">
        <v>1080</v>
      </c>
      <c r="M871" s="9">
        <f t="shared" si="13"/>
        <v>6480</v>
      </c>
    </row>
    <row r="872" spans="6:13" x14ac:dyDescent="0.3">
      <c r="F872" s="7">
        <v>44400</v>
      </c>
      <c r="G872" s="8" t="s">
        <v>17</v>
      </c>
      <c r="H872" s="8" t="s">
        <v>18</v>
      </c>
      <c r="I872" s="8" t="s">
        <v>29</v>
      </c>
      <c r="J872" s="8" t="s">
        <v>30</v>
      </c>
      <c r="K872" s="9">
        <v>5</v>
      </c>
      <c r="L872" s="9">
        <v>1575</v>
      </c>
      <c r="M872" s="9">
        <f t="shared" si="13"/>
        <v>7875</v>
      </c>
    </row>
    <row r="873" spans="6:13" x14ac:dyDescent="0.3">
      <c r="F873" s="7">
        <v>44400</v>
      </c>
      <c r="G873" s="8" t="s">
        <v>19</v>
      </c>
      <c r="H873" s="8" t="s">
        <v>18</v>
      </c>
      <c r="I873" s="8" t="s">
        <v>29</v>
      </c>
      <c r="J873" s="8" t="s">
        <v>30</v>
      </c>
      <c r="K873" s="9">
        <v>5</v>
      </c>
      <c r="L873" s="9">
        <v>790</v>
      </c>
      <c r="M873" s="9">
        <f t="shared" si="13"/>
        <v>3950</v>
      </c>
    </row>
    <row r="874" spans="6:13" x14ac:dyDescent="0.3">
      <c r="F874" s="7">
        <v>44407</v>
      </c>
      <c r="G874" s="8" t="s">
        <v>8</v>
      </c>
      <c r="H874" s="8" t="s">
        <v>9</v>
      </c>
      <c r="I874" s="8" t="s">
        <v>14</v>
      </c>
      <c r="J874" s="8" t="s">
        <v>11</v>
      </c>
      <c r="K874" s="9">
        <v>5</v>
      </c>
      <c r="L874" s="9">
        <v>2001</v>
      </c>
      <c r="M874" s="9">
        <f t="shared" si="13"/>
        <v>10005</v>
      </c>
    </row>
    <row r="875" spans="6:13" x14ac:dyDescent="0.3">
      <c r="F875" s="7">
        <v>44407</v>
      </c>
      <c r="G875" s="8" t="s">
        <v>12</v>
      </c>
      <c r="H875" s="8" t="s">
        <v>13</v>
      </c>
      <c r="I875" s="8" t="s">
        <v>14</v>
      </c>
      <c r="J875" s="8" t="s">
        <v>11</v>
      </c>
      <c r="K875" s="9">
        <v>49</v>
      </c>
      <c r="L875" s="9">
        <v>75</v>
      </c>
      <c r="M875" s="9">
        <f t="shared" si="13"/>
        <v>3675</v>
      </c>
    </row>
    <row r="876" spans="6:13" x14ac:dyDescent="0.3">
      <c r="F876" s="7">
        <v>44407</v>
      </c>
      <c r="G876" s="8" t="s">
        <v>15</v>
      </c>
      <c r="H876" s="8" t="s">
        <v>13</v>
      </c>
      <c r="I876" s="8" t="s">
        <v>14</v>
      </c>
      <c r="J876" s="8" t="s">
        <v>11</v>
      </c>
      <c r="K876" s="9">
        <v>7</v>
      </c>
      <c r="L876" s="9">
        <v>315</v>
      </c>
      <c r="M876" s="9">
        <f t="shared" si="13"/>
        <v>2205</v>
      </c>
    </row>
    <row r="877" spans="6:13" x14ac:dyDescent="0.3">
      <c r="F877" s="7">
        <v>44407</v>
      </c>
      <c r="G877" s="8" t="s">
        <v>16</v>
      </c>
      <c r="H877" s="8" t="s">
        <v>9</v>
      </c>
      <c r="I877" s="8" t="s">
        <v>14</v>
      </c>
      <c r="J877" s="8" t="s">
        <v>11</v>
      </c>
      <c r="K877" s="9">
        <v>6</v>
      </c>
      <c r="L877" s="9">
        <v>1080</v>
      </c>
      <c r="M877" s="9">
        <f t="shared" si="13"/>
        <v>6480</v>
      </c>
    </row>
    <row r="878" spans="6:13" x14ac:dyDescent="0.3">
      <c r="F878" s="7">
        <v>44407</v>
      </c>
      <c r="G878" s="8" t="s">
        <v>17</v>
      </c>
      <c r="H878" s="8" t="s">
        <v>18</v>
      </c>
      <c r="I878" s="8" t="s">
        <v>10</v>
      </c>
      <c r="J878" s="8" t="s">
        <v>11</v>
      </c>
      <c r="K878" s="9">
        <v>5</v>
      </c>
      <c r="L878" s="9">
        <v>1575</v>
      </c>
      <c r="M878" s="9">
        <f t="shared" si="13"/>
        <v>7875</v>
      </c>
    </row>
    <row r="879" spans="6:13" x14ac:dyDescent="0.3">
      <c r="F879" s="7">
        <v>44407</v>
      </c>
      <c r="G879" s="8" t="s">
        <v>19</v>
      </c>
      <c r="H879" s="8" t="s">
        <v>18</v>
      </c>
      <c r="I879" s="8" t="s">
        <v>10</v>
      </c>
      <c r="J879" s="8" t="s">
        <v>11</v>
      </c>
      <c r="K879" s="9">
        <v>10</v>
      </c>
      <c r="L879" s="9">
        <v>790</v>
      </c>
      <c r="M879" s="9">
        <f t="shared" si="13"/>
        <v>7900</v>
      </c>
    </row>
    <row r="880" spans="6:13" x14ac:dyDescent="0.3">
      <c r="F880" s="7">
        <v>44407</v>
      </c>
      <c r="G880" s="8" t="s">
        <v>8</v>
      </c>
      <c r="H880" s="8" t="s">
        <v>9</v>
      </c>
      <c r="I880" s="8" t="s">
        <v>20</v>
      </c>
      <c r="J880" s="8" t="s">
        <v>21</v>
      </c>
      <c r="K880" s="9">
        <v>4</v>
      </c>
      <c r="L880" s="9">
        <v>2001</v>
      </c>
      <c r="M880" s="9">
        <f t="shared" si="13"/>
        <v>8004</v>
      </c>
    </row>
    <row r="881" spans="6:13" x14ac:dyDescent="0.3">
      <c r="F881" s="7">
        <v>44407</v>
      </c>
      <c r="G881" s="8" t="s">
        <v>12</v>
      </c>
      <c r="H881" s="8" t="s">
        <v>13</v>
      </c>
      <c r="I881" s="8" t="s">
        <v>22</v>
      </c>
      <c r="J881" s="8" t="s">
        <v>21</v>
      </c>
      <c r="K881" s="9">
        <v>53</v>
      </c>
      <c r="L881" s="9">
        <v>75</v>
      </c>
      <c r="M881" s="9">
        <f t="shared" si="13"/>
        <v>3975</v>
      </c>
    </row>
    <row r="882" spans="6:13" x14ac:dyDescent="0.3">
      <c r="F882" s="7">
        <v>44407</v>
      </c>
      <c r="G882" s="8" t="s">
        <v>15</v>
      </c>
      <c r="H882" s="8" t="s">
        <v>13</v>
      </c>
      <c r="I882" s="8" t="s">
        <v>22</v>
      </c>
      <c r="J882" s="8" t="s">
        <v>21</v>
      </c>
      <c r="K882" s="9">
        <v>5</v>
      </c>
      <c r="L882" s="9">
        <v>315</v>
      </c>
      <c r="M882" s="9">
        <f t="shared" si="13"/>
        <v>1575</v>
      </c>
    </row>
    <row r="883" spans="6:13" x14ac:dyDescent="0.3">
      <c r="F883" s="7">
        <v>44407</v>
      </c>
      <c r="G883" s="8" t="s">
        <v>16</v>
      </c>
      <c r="H883" s="8" t="s">
        <v>9</v>
      </c>
      <c r="I883" s="8" t="s">
        <v>20</v>
      </c>
      <c r="J883" s="8" t="s">
        <v>21</v>
      </c>
      <c r="K883" s="9">
        <v>4</v>
      </c>
      <c r="L883" s="9">
        <v>1080</v>
      </c>
      <c r="M883" s="9">
        <f t="shared" si="13"/>
        <v>4320</v>
      </c>
    </row>
    <row r="884" spans="6:13" x14ac:dyDescent="0.3">
      <c r="F884" s="7">
        <v>44407</v>
      </c>
      <c r="G884" s="8" t="s">
        <v>17</v>
      </c>
      <c r="H884" s="8" t="s">
        <v>18</v>
      </c>
      <c r="I884" s="8" t="s">
        <v>22</v>
      </c>
      <c r="J884" s="8" t="s">
        <v>21</v>
      </c>
      <c r="K884" s="9">
        <v>6</v>
      </c>
      <c r="L884" s="9">
        <v>1575</v>
      </c>
      <c r="M884" s="9">
        <f t="shared" si="13"/>
        <v>9450</v>
      </c>
    </row>
    <row r="885" spans="6:13" x14ac:dyDescent="0.3">
      <c r="F885" s="7">
        <v>44407</v>
      </c>
      <c r="G885" s="8" t="s">
        <v>19</v>
      </c>
      <c r="H885" s="8" t="s">
        <v>18</v>
      </c>
      <c r="I885" s="8" t="s">
        <v>20</v>
      </c>
      <c r="J885" s="8" t="s">
        <v>21</v>
      </c>
      <c r="K885" s="9">
        <v>8</v>
      </c>
      <c r="L885" s="9">
        <v>790</v>
      </c>
      <c r="M885" s="9">
        <f t="shared" si="13"/>
        <v>6320</v>
      </c>
    </row>
    <row r="886" spans="6:13" x14ac:dyDescent="0.3">
      <c r="F886" s="7">
        <v>44407</v>
      </c>
      <c r="G886" s="8" t="s">
        <v>8</v>
      </c>
      <c r="H886" s="8" t="s">
        <v>9</v>
      </c>
      <c r="I886" s="8" t="s">
        <v>23</v>
      </c>
      <c r="J886" s="8" t="s">
        <v>24</v>
      </c>
      <c r="K886" s="9">
        <v>4</v>
      </c>
      <c r="L886" s="9">
        <v>2001</v>
      </c>
      <c r="M886" s="9">
        <f t="shared" si="13"/>
        <v>8004</v>
      </c>
    </row>
    <row r="887" spans="6:13" x14ac:dyDescent="0.3">
      <c r="F887" s="7">
        <v>44407</v>
      </c>
      <c r="G887" s="8" t="s">
        <v>12</v>
      </c>
      <c r="H887" s="8" t="s">
        <v>13</v>
      </c>
      <c r="I887" s="8" t="s">
        <v>25</v>
      </c>
      <c r="J887" s="8" t="s">
        <v>24</v>
      </c>
      <c r="K887" s="9">
        <v>39</v>
      </c>
      <c r="L887" s="9">
        <v>75</v>
      </c>
      <c r="M887" s="9">
        <f t="shared" si="13"/>
        <v>2925</v>
      </c>
    </row>
    <row r="888" spans="6:13" x14ac:dyDescent="0.3">
      <c r="F888" s="7">
        <v>44407</v>
      </c>
      <c r="G888" s="8" t="s">
        <v>15</v>
      </c>
      <c r="H888" s="8" t="s">
        <v>13</v>
      </c>
      <c r="I888" s="8" t="s">
        <v>25</v>
      </c>
      <c r="J888" s="8" t="s">
        <v>24</v>
      </c>
      <c r="K888" s="9">
        <v>12</v>
      </c>
      <c r="L888" s="9">
        <v>315</v>
      </c>
      <c r="M888" s="9">
        <f t="shared" si="13"/>
        <v>3780</v>
      </c>
    </row>
    <row r="889" spans="6:13" x14ac:dyDescent="0.3">
      <c r="F889" s="7">
        <v>44407</v>
      </c>
      <c r="G889" s="8" t="s">
        <v>16</v>
      </c>
      <c r="H889" s="8" t="s">
        <v>9</v>
      </c>
      <c r="I889" s="8" t="s">
        <v>23</v>
      </c>
      <c r="J889" s="8" t="s">
        <v>24</v>
      </c>
      <c r="K889" s="9">
        <v>5</v>
      </c>
      <c r="L889" s="9">
        <v>1080</v>
      </c>
      <c r="M889" s="9">
        <f t="shared" si="13"/>
        <v>5400</v>
      </c>
    </row>
    <row r="890" spans="6:13" x14ac:dyDescent="0.3">
      <c r="F890" s="7">
        <v>44407</v>
      </c>
      <c r="G890" s="8" t="s">
        <v>17</v>
      </c>
      <c r="H890" s="8" t="s">
        <v>18</v>
      </c>
      <c r="I890" s="8" t="s">
        <v>25</v>
      </c>
      <c r="J890" s="8" t="s">
        <v>24</v>
      </c>
      <c r="K890" s="9">
        <v>3</v>
      </c>
      <c r="L890" s="9">
        <v>1575</v>
      </c>
      <c r="M890" s="9">
        <f t="shared" si="13"/>
        <v>4725</v>
      </c>
    </row>
    <row r="891" spans="6:13" x14ac:dyDescent="0.3">
      <c r="F891" s="7">
        <v>44407</v>
      </c>
      <c r="G891" s="8" t="s">
        <v>19</v>
      </c>
      <c r="H891" s="8" t="s">
        <v>18</v>
      </c>
      <c r="I891" s="8" t="s">
        <v>25</v>
      </c>
      <c r="J891" s="8" t="s">
        <v>24</v>
      </c>
      <c r="K891" s="9">
        <v>10</v>
      </c>
      <c r="L891" s="9">
        <v>790</v>
      </c>
      <c r="M891" s="9">
        <f t="shared" si="13"/>
        <v>7900</v>
      </c>
    </row>
    <row r="892" spans="6:13" x14ac:dyDescent="0.3">
      <c r="F892" s="7">
        <v>44407</v>
      </c>
      <c r="G892" s="8" t="s">
        <v>8</v>
      </c>
      <c r="H892" s="8" t="s">
        <v>9</v>
      </c>
      <c r="I892" s="8" t="s">
        <v>26</v>
      </c>
      <c r="J892" s="8" t="s">
        <v>27</v>
      </c>
      <c r="K892" s="9">
        <v>5</v>
      </c>
      <c r="L892" s="9">
        <v>2001</v>
      </c>
      <c r="M892" s="9">
        <f t="shared" si="13"/>
        <v>10005</v>
      </c>
    </row>
    <row r="893" spans="6:13" x14ac:dyDescent="0.3">
      <c r="F893" s="7">
        <v>44407</v>
      </c>
      <c r="G893" s="8" t="s">
        <v>12</v>
      </c>
      <c r="H893" s="8" t="s">
        <v>13</v>
      </c>
      <c r="I893" s="8" t="s">
        <v>26</v>
      </c>
      <c r="J893" s="8" t="s">
        <v>27</v>
      </c>
      <c r="K893" s="9">
        <v>40</v>
      </c>
      <c r="L893" s="9">
        <v>75</v>
      </c>
      <c r="M893" s="9">
        <f t="shared" si="13"/>
        <v>3000</v>
      </c>
    </row>
    <row r="894" spans="6:13" x14ac:dyDescent="0.3">
      <c r="F894" s="7">
        <v>44407</v>
      </c>
      <c r="G894" s="8" t="s">
        <v>15</v>
      </c>
      <c r="H894" s="8" t="s">
        <v>13</v>
      </c>
      <c r="I894" s="8" t="s">
        <v>26</v>
      </c>
      <c r="J894" s="8" t="s">
        <v>27</v>
      </c>
      <c r="K894" s="9">
        <v>11</v>
      </c>
      <c r="L894" s="9">
        <v>315</v>
      </c>
      <c r="M894" s="9">
        <f t="shared" si="13"/>
        <v>3465</v>
      </c>
    </row>
    <row r="895" spans="6:13" x14ac:dyDescent="0.3">
      <c r="F895" s="7">
        <v>44407</v>
      </c>
      <c r="G895" s="8" t="s">
        <v>16</v>
      </c>
      <c r="H895" s="8" t="s">
        <v>9</v>
      </c>
      <c r="I895" s="8" t="s">
        <v>26</v>
      </c>
      <c r="J895" s="8" t="s">
        <v>27</v>
      </c>
      <c r="K895" s="9">
        <v>3</v>
      </c>
      <c r="L895" s="9">
        <v>1080</v>
      </c>
      <c r="M895" s="9">
        <f t="shared" si="13"/>
        <v>3240</v>
      </c>
    </row>
    <row r="896" spans="6:13" x14ac:dyDescent="0.3">
      <c r="F896" s="7">
        <v>44407</v>
      </c>
      <c r="G896" s="8" t="s">
        <v>17</v>
      </c>
      <c r="H896" s="8" t="s">
        <v>18</v>
      </c>
      <c r="I896" s="8" t="s">
        <v>28</v>
      </c>
      <c r="J896" s="8" t="s">
        <v>27</v>
      </c>
      <c r="K896" s="9">
        <v>4</v>
      </c>
      <c r="L896" s="9">
        <v>1575</v>
      </c>
      <c r="M896" s="9">
        <f t="shared" si="13"/>
        <v>6300</v>
      </c>
    </row>
    <row r="897" spans="6:13" x14ac:dyDescent="0.3">
      <c r="F897" s="7">
        <v>44407</v>
      </c>
      <c r="G897" s="8" t="s">
        <v>19</v>
      </c>
      <c r="H897" s="8" t="s">
        <v>18</v>
      </c>
      <c r="I897" s="8" t="s">
        <v>28</v>
      </c>
      <c r="J897" s="8" t="s">
        <v>27</v>
      </c>
      <c r="K897" s="9">
        <v>8</v>
      </c>
      <c r="L897" s="9">
        <v>790</v>
      </c>
      <c r="M897" s="9">
        <f t="shared" si="13"/>
        <v>6320</v>
      </c>
    </row>
    <row r="898" spans="6:13" x14ac:dyDescent="0.3">
      <c r="F898" s="7">
        <v>44407</v>
      </c>
      <c r="G898" s="8" t="s">
        <v>8</v>
      </c>
      <c r="H898" s="8" t="s">
        <v>9</v>
      </c>
      <c r="I898" s="8" t="s">
        <v>29</v>
      </c>
      <c r="J898" s="8" t="s">
        <v>30</v>
      </c>
      <c r="K898" s="9">
        <v>5</v>
      </c>
      <c r="L898" s="9">
        <v>2001</v>
      </c>
      <c r="M898" s="9">
        <f t="shared" si="13"/>
        <v>10005</v>
      </c>
    </row>
    <row r="899" spans="6:13" x14ac:dyDescent="0.3">
      <c r="F899" s="7">
        <v>44407</v>
      </c>
      <c r="G899" s="8" t="s">
        <v>12</v>
      </c>
      <c r="H899" s="8" t="s">
        <v>13</v>
      </c>
      <c r="I899" s="8" t="s">
        <v>31</v>
      </c>
      <c r="J899" s="8" t="s">
        <v>30</v>
      </c>
      <c r="K899" s="9">
        <v>59</v>
      </c>
      <c r="L899" s="9">
        <v>75</v>
      </c>
      <c r="M899" s="9">
        <f t="shared" si="13"/>
        <v>4425</v>
      </c>
    </row>
    <row r="900" spans="6:13" x14ac:dyDescent="0.3">
      <c r="F900" s="7">
        <v>44407</v>
      </c>
      <c r="G900" s="8" t="s">
        <v>15</v>
      </c>
      <c r="H900" s="8" t="s">
        <v>13</v>
      </c>
      <c r="I900" s="8" t="s">
        <v>31</v>
      </c>
      <c r="J900" s="8" t="s">
        <v>30</v>
      </c>
      <c r="K900" s="9">
        <v>13</v>
      </c>
      <c r="L900" s="9">
        <v>315</v>
      </c>
      <c r="M900" s="9">
        <f t="shared" ref="M900:M963" si="14">K900*L900</f>
        <v>4095</v>
      </c>
    </row>
    <row r="901" spans="6:13" x14ac:dyDescent="0.3">
      <c r="F901" s="7">
        <v>44407</v>
      </c>
      <c r="G901" s="8" t="s">
        <v>16</v>
      </c>
      <c r="H901" s="8" t="s">
        <v>9</v>
      </c>
      <c r="I901" s="8" t="s">
        <v>29</v>
      </c>
      <c r="J901" s="8" t="s">
        <v>30</v>
      </c>
      <c r="K901" s="9">
        <v>4</v>
      </c>
      <c r="L901" s="9">
        <v>1080</v>
      </c>
      <c r="M901" s="9">
        <f t="shared" si="14"/>
        <v>4320</v>
      </c>
    </row>
    <row r="902" spans="6:13" x14ac:dyDescent="0.3">
      <c r="F902" s="7">
        <v>44407</v>
      </c>
      <c r="G902" s="8" t="s">
        <v>17</v>
      </c>
      <c r="H902" s="8" t="s">
        <v>18</v>
      </c>
      <c r="I902" s="8" t="s">
        <v>29</v>
      </c>
      <c r="J902" s="8" t="s">
        <v>30</v>
      </c>
      <c r="K902" s="9">
        <v>3</v>
      </c>
      <c r="L902" s="9">
        <v>1575</v>
      </c>
      <c r="M902" s="9">
        <f t="shared" si="14"/>
        <v>4725</v>
      </c>
    </row>
    <row r="903" spans="6:13" x14ac:dyDescent="0.3">
      <c r="F903" s="7">
        <v>44407</v>
      </c>
      <c r="G903" s="8" t="s">
        <v>19</v>
      </c>
      <c r="H903" s="8" t="s">
        <v>18</v>
      </c>
      <c r="I903" s="8" t="s">
        <v>29</v>
      </c>
      <c r="J903" s="8" t="s">
        <v>30</v>
      </c>
      <c r="K903" s="9">
        <v>8</v>
      </c>
      <c r="L903" s="9">
        <v>790</v>
      </c>
      <c r="M903" s="9">
        <f t="shared" si="14"/>
        <v>6320</v>
      </c>
    </row>
    <row r="904" spans="6:13" x14ac:dyDescent="0.3">
      <c r="F904" s="7">
        <v>44414</v>
      </c>
      <c r="G904" s="8" t="s">
        <v>8</v>
      </c>
      <c r="H904" s="8" t="s">
        <v>9</v>
      </c>
      <c r="I904" s="8" t="s">
        <v>14</v>
      </c>
      <c r="J904" s="8" t="s">
        <v>11</v>
      </c>
      <c r="K904" s="9">
        <v>6</v>
      </c>
      <c r="L904" s="9">
        <v>2001</v>
      </c>
      <c r="M904" s="9">
        <f t="shared" si="14"/>
        <v>12006</v>
      </c>
    </row>
    <row r="905" spans="6:13" x14ac:dyDescent="0.3">
      <c r="F905" s="7">
        <v>44414</v>
      </c>
      <c r="G905" s="8" t="s">
        <v>12</v>
      </c>
      <c r="H905" s="8" t="s">
        <v>13</v>
      </c>
      <c r="I905" s="8" t="s">
        <v>14</v>
      </c>
      <c r="J905" s="8" t="s">
        <v>11</v>
      </c>
      <c r="K905" s="9">
        <v>48</v>
      </c>
      <c r="L905" s="9">
        <v>75</v>
      </c>
      <c r="M905" s="9">
        <f t="shared" si="14"/>
        <v>3600</v>
      </c>
    </row>
    <row r="906" spans="6:13" x14ac:dyDescent="0.3">
      <c r="F906" s="7">
        <v>44414</v>
      </c>
      <c r="G906" s="8" t="s">
        <v>15</v>
      </c>
      <c r="H906" s="8" t="s">
        <v>13</v>
      </c>
      <c r="I906" s="8" t="s">
        <v>14</v>
      </c>
      <c r="J906" s="8" t="s">
        <v>11</v>
      </c>
      <c r="K906" s="9">
        <v>8</v>
      </c>
      <c r="L906" s="9">
        <v>315</v>
      </c>
      <c r="M906" s="9">
        <f t="shared" si="14"/>
        <v>2520</v>
      </c>
    </row>
    <row r="907" spans="6:13" x14ac:dyDescent="0.3">
      <c r="F907" s="7">
        <v>44414</v>
      </c>
      <c r="G907" s="8" t="s">
        <v>16</v>
      </c>
      <c r="H907" s="8" t="s">
        <v>9</v>
      </c>
      <c r="I907" s="8" t="s">
        <v>14</v>
      </c>
      <c r="J907" s="8" t="s">
        <v>11</v>
      </c>
      <c r="K907" s="9">
        <v>3</v>
      </c>
      <c r="L907" s="9">
        <v>1080</v>
      </c>
      <c r="M907" s="9">
        <f t="shared" si="14"/>
        <v>3240</v>
      </c>
    </row>
    <row r="908" spans="6:13" x14ac:dyDescent="0.3">
      <c r="F908" s="7">
        <v>44414</v>
      </c>
      <c r="G908" s="8" t="s">
        <v>17</v>
      </c>
      <c r="H908" s="8" t="s">
        <v>18</v>
      </c>
      <c r="I908" s="8" t="s">
        <v>10</v>
      </c>
      <c r="J908" s="8" t="s">
        <v>11</v>
      </c>
      <c r="K908" s="9">
        <v>3</v>
      </c>
      <c r="L908" s="9">
        <v>1575</v>
      </c>
      <c r="M908" s="9">
        <f t="shared" si="14"/>
        <v>4725</v>
      </c>
    </row>
    <row r="909" spans="6:13" x14ac:dyDescent="0.3">
      <c r="F909" s="7">
        <v>44414</v>
      </c>
      <c r="G909" s="8" t="s">
        <v>19</v>
      </c>
      <c r="H909" s="8" t="s">
        <v>18</v>
      </c>
      <c r="I909" s="8" t="s">
        <v>10</v>
      </c>
      <c r="J909" s="8" t="s">
        <v>11</v>
      </c>
      <c r="K909" s="9">
        <v>7</v>
      </c>
      <c r="L909" s="9">
        <v>790</v>
      </c>
      <c r="M909" s="9">
        <f t="shared" si="14"/>
        <v>5530</v>
      </c>
    </row>
    <row r="910" spans="6:13" x14ac:dyDescent="0.3">
      <c r="F910" s="7">
        <v>44414</v>
      </c>
      <c r="G910" s="8" t="s">
        <v>8</v>
      </c>
      <c r="H910" s="8" t="s">
        <v>9</v>
      </c>
      <c r="I910" s="8" t="s">
        <v>20</v>
      </c>
      <c r="J910" s="8" t="s">
        <v>21</v>
      </c>
      <c r="K910" s="9">
        <v>6</v>
      </c>
      <c r="L910" s="9">
        <v>2001</v>
      </c>
      <c r="M910" s="9">
        <f t="shared" si="14"/>
        <v>12006</v>
      </c>
    </row>
    <row r="911" spans="6:13" x14ac:dyDescent="0.3">
      <c r="F911" s="7">
        <v>44414</v>
      </c>
      <c r="G911" s="8" t="s">
        <v>12</v>
      </c>
      <c r="H911" s="8" t="s">
        <v>13</v>
      </c>
      <c r="I911" s="8" t="s">
        <v>22</v>
      </c>
      <c r="J911" s="8" t="s">
        <v>21</v>
      </c>
      <c r="K911" s="9">
        <v>58</v>
      </c>
      <c r="L911" s="9">
        <v>75</v>
      </c>
      <c r="M911" s="9">
        <f t="shared" si="14"/>
        <v>4350</v>
      </c>
    </row>
    <row r="912" spans="6:13" x14ac:dyDescent="0.3">
      <c r="F912" s="7">
        <v>44414</v>
      </c>
      <c r="G912" s="8" t="s">
        <v>15</v>
      </c>
      <c r="H912" s="8" t="s">
        <v>13</v>
      </c>
      <c r="I912" s="8" t="s">
        <v>22</v>
      </c>
      <c r="J912" s="8" t="s">
        <v>21</v>
      </c>
      <c r="K912" s="9">
        <v>11</v>
      </c>
      <c r="L912" s="9">
        <v>315</v>
      </c>
      <c r="M912" s="9">
        <f t="shared" si="14"/>
        <v>3465</v>
      </c>
    </row>
    <row r="913" spans="6:13" x14ac:dyDescent="0.3">
      <c r="F913" s="7">
        <v>44414</v>
      </c>
      <c r="G913" s="8" t="s">
        <v>16</v>
      </c>
      <c r="H913" s="8" t="s">
        <v>9</v>
      </c>
      <c r="I913" s="8" t="s">
        <v>20</v>
      </c>
      <c r="J913" s="8" t="s">
        <v>21</v>
      </c>
      <c r="K913" s="9">
        <v>5</v>
      </c>
      <c r="L913" s="9">
        <v>1080</v>
      </c>
      <c r="M913" s="9">
        <f t="shared" si="14"/>
        <v>5400</v>
      </c>
    </row>
    <row r="914" spans="6:13" x14ac:dyDescent="0.3">
      <c r="F914" s="7">
        <v>44414</v>
      </c>
      <c r="G914" s="8" t="s">
        <v>17</v>
      </c>
      <c r="H914" s="8" t="s">
        <v>18</v>
      </c>
      <c r="I914" s="8" t="s">
        <v>20</v>
      </c>
      <c r="J914" s="8" t="s">
        <v>21</v>
      </c>
      <c r="K914" s="9">
        <v>6</v>
      </c>
      <c r="L914" s="9">
        <v>1575</v>
      </c>
      <c r="M914" s="9">
        <f t="shared" si="14"/>
        <v>9450</v>
      </c>
    </row>
    <row r="915" spans="6:13" x14ac:dyDescent="0.3">
      <c r="F915" s="7">
        <v>44414</v>
      </c>
      <c r="G915" s="8" t="s">
        <v>19</v>
      </c>
      <c r="H915" s="8" t="s">
        <v>18</v>
      </c>
      <c r="I915" s="8" t="s">
        <v>20</v>
      </c>
      <c r="J915" s="8" t="s">
        <v>21</v>
      </c>
      <c r="K915" s="9">
        <v>10</v>
      </c>
      <c r="L915" s="9">
        <v>790</v>
      </c>
      <c r="M915" s="9">
        <f t="shared" si="14"/>
        <v>7900</v>
      </c>
    </row>
    <row r="916" spans="6:13" x14ac:dyDescent="0.3">
      <c r="F916" s="7">
        <v>44414</v>
      </c>
      <c r="G916" s="8" t="s">
        <v>8</v>
      </c>
      <c r="H916" s="8" t="s">
        <v>9</v>
      </c>
      <c r="I916" s="8" t="s">
        <v>23</v>
      </c>
      <c r="J916" s="8" t="s">
        <v>24</v>
      </c>
      <c r="K916" s="9">
        <v>6</v>
      </c>
      <c r="L916" s="9">
        <v>2001</v>
      </c>
      <c r="M916" s="9">
        <f t="shared" si="14"/>
        <v>12006</v>
      </c>
    </row>
    <row r="917" spans="6:13" x14ac:dyDescent="0.3">
      <c r="F917" s="7">
        <v>44414</v>
      </c>
      <c r="G917" s="8" t="s">
        <v>12</v>
      </c>
      <c r="H917" s="8" t="s">
        <v>13</v>
      </c>
      <c r="I917" s="8" t="s">
        <v>25</v>
      </c>
      <c r="J917" s="8" t="s">
        <v>24</v>
      </c>
      <c r="K917" s="9">
        <v>59</v>
      </c>
      <c r="L917" s="9">
        <v>75</v>
      </c>
      <c r="M917" s="9">
        <f t="shared" si="14"/>
        <v>4425</v>
      </c>
    </row>
    <row r="918" spans="6:13" x14ac:dyDescent="0.3">
      <c r="F918" s="7">
        <v>44414</v>
      </c>
      <c r="G918" s="8" t="s">
        <v>15</v>
      </c>
      <c r="H918" s="8" t="s">
        <v>13</v>
      </c>
      <c r="I918" s="8" t="s">
        <v>25</v>
      </c>
      <c r="J918" s="8" t="s">
        <v>24</v>
      </c>
      <c r="K918" s="9">
        <v>7</v>
      </c>
      <c r="L918" s="9">
        <v>315</v>
      </c>
      <c r="M918" s="9">
        <f t="shared" si="14"/>
        <v>2205</v>
      </c>
    </row>
    <row r="919" spans="6:13" x14ac:dyDescent="0.3">
      <c r="F919" s="7">
        <v>44414</v>
      </c>
      <c r="G919" s="8" t="s">
        <v>16</v>
      </c>
      <c r="H919" s="8" t="s">
        <v>9</v>
      </c>
      <c r="I919" s="8" t="s">
        <v>23</v>
      </c>
      <c r="J919" s="8" t="s">
        <v>24</v>
      </c>
      <c r="K919" s="9">
        <v>6</v>
      </c>
      <c r="L919" s="9">
        <v>1080</v>
      </c>
      <c r="M919" s="9">
        <f t="shared" si="14"/>
        <v>6480</v>
      </c>
    </row>
    <row r="920" spans="6:13" x14ac:dyDescent="0.3">
      <c r="F920" s="7">
        <v>44414</v>
      </c>
      <c r="G920" s="8" t="s">
        <v>17</v>
      </c>
      <c r="H920" s="8" t="s">
        <v>18</v>
      </c>
      <c r="I920" s="8" t="s">
        <v>25</v>
      </c>
      <c r="J920" s="8" t="s">
        <v>24</v>
      </c>
      <c r="K920" s="9">
        <v>6</v>
      </c>
      <c r="L920" s="9">
        <v>1575</v>
      </c>
      <c r="M920" s="9">
        <f t="shared" si="14"/>
        <v>9450</v>
      </c>
    </row>
    <row r="921" spans="6:13" x14ac:dyDescent="0.3">
      <c r="F921" s="7">
        <v>44414</v>
      </c>
      <c r="G921" s="8" t="s">
        <v>19</v>
      </c>
      <c r="H921" s="8" t="s">
        <v>18</v>
      </c>
      <c r="I921" s="8" t="s">
        <v>25</v>
      </c>
      <c r="J921" s="8" t="s">
        <v>24</v>
      </c>
      <c r="K921" s="9">
        <v>8</v>
      </c>
      <c r="L921" s="9">
        <v>790</v>
      </c>
      <c r="M921" s="9">
        <f t="shared" si="14"/>
        <v>6320</v>
      </c>
    </row>
    <row r="922" spans="6:13" x14ac:dyDescent="0.3">
      <c r="F922" s="7">
        <v>44414</v>
      </c>
      <c r="G922" s="8" t="s">
        <v>8</v>
      </c>
      <c r="H922" s="8" t="s">
        <v>9</v>
      </c>
      <c r="I922" s="8" t="s">
        <v>26</v>
      </c>
      <c r="J922" s="8" t="s">
        <v>27</v>
      </c>
      <c r="K922" s="9">
        <v>3</v>
      </c>
      <c r="L922" s="9">
        <v>2001</v>
      </c>
      <c r="M922" s="9">
        <f t="shared" si="14"/>
        <v>6003</v>
      </c>
    </row>
    <row r="923" spans="6:13" x14ac:dyDescent="0.3">
      <c r="F923" s="7">
        <v>44414</v>
      </c>
      <c r="G923" s="8" t="s">
        <v>12</v>
      </c>
      <c r="H923" s="8" t="s">
        <v>13</v>
      </c>
      <c r="I923" s="8" t="s">
        <v>26</v>
      </c>
      <c r="J923" s="8" t="s">
        <v>27</v>
      </c>
      <c r="K923" s="9">
        <v>48</v>
      </c>
      <c r="L923" s="9">
        <v>75</v>
      </c>
      <c r="M923" s="9">
        <f t="shared" si="14"/>
        <v>3600</v>
      </c>
    </row>
    <row r="924" spans="6:13" x14ac:dyDescent="0.3">
      <c r="F924" s="7">
        <v>44414</v>
      </c>
      <c r="G924" s="8" t="s">
        <v>15</v>
      </c>
      <c r="H924" s="8" t="s">
        <v>13</v>
      </c>
      <c r="I924" s="8" t="s">
        <v>26</v>
      </c>
      <c r="J924" s="8" t="s">
        <v>27</v>
      </c>
      <c r="K924" s="9">
        <v>8</v>
      </c>
      <c r="L924" s="9">
        <v>315</v>
      </c>
      <c r="M924" s="9">
        <f t="shared" si="14"/>
        <v>2520</v>
      </c>
    </row>
    <row r="925" spans="6:13" x14ac:dyDescent="0.3">
      <c r="F925" s="7">
        <v>44414</v>
      </c>
      <c r="G925" s="8" t="s">
        <v>16</v>
      </c>
      <c r="H925" s="8" t="s">
        <v>9</v>
      </c>
      <c r="I925" s="8" t="s">
        <v>26</v>
      </c>
      <c r="J925" s="8" t="s">
        <v>27</v>
      </c>
      <c r="K925" s="9">
        <v>2</v>
      </c>
      <c r="L925" s="9">
        <v>1080</v>
      </c>
      <c r="M925" s="9">
        <f t="shared" si="14"/>
        <v>2160</v>
      </c>
    </row>
    <row r="926" spans="6:13" x14ac:dyDescent="0.3">
      <c r="F926" s="7">
        <v>44414</v>
      </c>
      <c r="G926" s="8" t="s">
        <v>17</v>
      </c>
      <c r="H926" s="8" t="s">
        <v>18</v>
      </c>
      <c r="I926" s="8" t="s">
        <v>28</v>
      </c>
      <c r="J926" s="8" t="s">
        <v>27</v>
      </c>
      <c r="K926" s="9">
        <v>2</v>
      </c>
      <c r="L926" s="9">
        <v>1575</v>
      </c>
      <c r="M926" s="9">
        <f t="shared" si="14"/>
        <v>3150</v>
      </c>
    </row>
    <row r="927" spans="6:13" x14ac:dyDescent="0.3">
      <c r="F927" s="7">
        <v>44414</v>
      </c>
      <c r="G927" s="8" t="s">
        <v>19</v>
      </c>
      <c r="H927" s="8" t="s">
        <v>18</v>
      </c>
      <c r="I927" s="8" t="s">
        <v>28</v>
      </c>
      <c r="J927" s="8" t="s">
        <v>27</v>
      </c>
      <c r="K927" s="9">
        <v>7</v>
      </c>
      <c r="L927" s="9">
        <v>790</v>
      </c>
      <c r="M927" s="9">
        <f t="shared" si="14"/>
        <v>5530</v>
      </c>
    </row>
    <row r="928" spans="6:13" x14ac:dyDescent="0.3">
      <c r="F928" s="7">
        <v>44414</v>
      </c>
      <c r="G928" s="8" t="s">
        <v>8</v>
      </c>
      <c r="H928" s="8" t="s">
        <v>9</v>
      </c>
      <c r="I928" s="8" t="s">
        <v>29</v>
      </c>
      <c r="J928" s="8" t="s">
        <v>30</v>
      </c>
      <c r="K928" s="9">
        <v>5</v>
      </c>
      <c r="L928" s="9">
        <v>2001</v>
      </c>
      <c r="M928" s="9">
        <f t="shared" si="14"/>
        <v>10005</v>
      </c>
    </row>
    <row r="929" spans="6:13" x14ac:dyDescent="0.3">
      <c r="F929" s="7">
        <v>44414</v>
      </c>
      <c r="G929" s="8" t="s">
        <v>12</v>
      </c>
      <c r="H929" s="8" t="s">
        <v>13</v>
      </c>
      <c r="I929" s="8" t="s">
        <v>31</v>
      </c>
      <c r="J929" s="8" t="s">
        <v>30</v>
      </c>
      <c r="K929" s="9">
        <v>37</v>
      </c>
      <c r="L929" s="9">
        <v>75</v>
      </c>
      <c r="M929" s="9">
        <f t="shared" si="14"/>
        <v>2775</v>
      </c>
    </row>
    <row r="930" spans="6:13" x14ac:dyDescent="0.3">
      <c r="F930" s="7">
        <v>44414</v>
      </c>
      <c r="G930" s="8" t="s">
        <v>15</v>
      </c>
      <c r="H930" s="8" t="s">
        <v>13</v>
      </c>
      <c r="I930" s="8" t="s">
        <v>31</v>
      </c>
      <c r="J930" s="8" t="s">
        <v>30</v>
      </c>
      <c r="K930" s="9">
        <v>9</v>
      </c>
      <c r="L930" s="9">
        <v>315</v>
      </c>
      <c r="M930" s="9">
        <f t="shared" si="14"/>
        <v>2835</v>
      </c>
    </row>
    <row r="931" spans="6:13" x14ac:dyDescent="0.3">
      <c r="F931" s="7">
        <v>44414</v>
      </c>
      <c r="G931" s="8" t="s">
        <v>16</v>
      </c>
      <c r="H931" s="8" t="s">
        <v>9</v>
      </c>
      <c r="I931" s="8" t="s">
        <v>29</v>
      </c>
      <c r="J931" s="8" t="s">
        <v>30</v>
      </c>
      <c r="K931" s="9">
        <v>5</v>
      </c>
      <c r="L931" s="9">
        <v>1080</v>
      </c>
      <c r="M931" s="9">
        <f t="shared" si="14"/>
        <v>5400</v>
      </c>
    </row>
    <row r="932" spans="6:13" x14ac:dyDescent="0.3">
      <c r="F932" s="7">
        <v>44414</v>
      </c>
      <c r="G932" s="8" t="s">
        <v>17</v>
      </c>
      <c r="H932" s="8" t="s">
        <v>18</v>
      </c>
      <c r="I932" s="8" t="s">
        <v>29</v>
      </c>
      <c r="J932" s="8" t="s">
        <v>30</v>
      </c>
      <c r="K932" s="9">
        <v>2</v>
      </c>
      <c r="L932" s="9">
        <v>1575</v>
      </c>
      <c r="M932" s="9">
        <f t="shared" si="14"/>
        <v>3150</v>
      </c>
    </row>
    <row r="933" spans="6:13" x14ac:dyDescent="0.3">
      <c r="F933" s="7">
        <v>44414</v>
      </c>
      <c r="G933" s="8" t="s">
        <v>19</v>
      </c>
      <c r="H933" s="8" t="s">
        <v>18</v>
      </c>
      <c r="I933" s="8" t="s">
        <v>29</v>
      </c>
      <c r="J933" s="8" t="s">
        <v>30</v>
      </c>
      <c r="K933" s="9">
        <v>7</v>
      </c>
      <c r="L933" s="9">
        <v>790</v>
      </c>
      <c r="M933" s="9">
        <f t="shared" si="14"/>
        <v>5530</v>
      </c>
    </row>
    <row r="934" spans="6:13" x14ac:dyDescent="0.3">
      <c r="F934" s="7">
        <v>44421</v>
      </c>
      <c r="G934" s="8" t="s">
        <v>8</v>
      </c>
      <c r="H934" s="8" t="s">
        <v>9</v>
      </c>
      <c r="I934" s="8" t="s">
        <v>14</v>
      </c>
      <c r="J934" s="8" t="s">
        <v>11</v>
      </c>
      <c r="K934" s="9">
        <v>4</v>
      </c>
      <c r="L934" s="9">
        <v>2001</v>
      </c>
      <c r="M934" s="9">
        <f t="shared" si="14"/>
        <v>8004</v>
      </c>
    </row>
    <row r="935" spans="6:13" x14ac:dyDescent="0.3">
      <c r="F935" s="7">
        <v>44421</v>
      </c>
      <c r="G935" s="8" t="s">
        <v>12</v>
      </c>
      <c r="H935" s="8" t="s">
        <v>13</v>
      </c>
      <c r="I935" s="8" t="s">
        <v>14</v>
      </c>
      <c r="J935" s="8" t="s">
        <v>11</v>
      </c>
      <c r="K935" s="9">
        <v>39</v>
      </c>
      <c r="L935" s="9">
        <v>75</v>
      </c>
      <c r="M935" s="9">
        <f t="shared" si="14"/>
        <v>2925</v>
      </c>
    </row>
    <row r="936" spans="6:13" x14ac:dyDescent="0.3">
      <c r="F936" s="7">
        <v>44421</v>
      </c>
      <c r="G936" s="8" t="s">
        <v>15</v>
      </c>
      <c r="H936" s="8" t="s">
        <v>13</v>
      </c>
      <c r="I936" s="8" t="s">
        <v>14</v>
      </c>
      <c r="J936" s="8" t="s">
        <v>11</v>
      </c>
      <c r="K936" s="9">
        <v>5</v>
      </c>
      <c r="L936" s="9">
        <v>315</v>
      </c>
      <c r="M936" s="9">
        <f t="shared" si="14"/>
        <v>1575</v>
      </c>
    </row>
    <row r="937" spans="6:13" x14ac:dyDescent="0.3">
      <c r="F937" s="7">
        <v>44421</v>
      </c>
      <c r="G937" s="8" t="s">
        <v>16</v>
      </c>
      <c r="H937" s="8" t="s">
        <v>9</v>
      </c>
      <c r="I937" s="8" t="s">
        <v>14</v>
      </c>
      <c r="J937" s="8" t="s">
        <v>11</v>
      </c>
      <c r="K937" s="9">
        <v>2</v>
      </c>
      <c r="L937" s="9">
        <v>1080</v>
      </c>
      <c r="M937" s="9">
        <f t="shared" si="14"/>
        <v>2160</v>
      </c>
    </row>
    <row r="938" spans="6:13" x14ac:dyDescent="0.3">
      <c r="F938" s="7">
        <v>44421</v>
      </c>
      <c r="G938" s="8" t="s">
        <v>17</v>
      </c>
      <c r="H938" s="8" t="s">
        <v>18</v>
      </c>
      <c r="I938" s="8" t="s">
        <v>10</v>
      </c>
      <c r="J938" s="8" t="s">
        <v>11</v>
      </c>
      <c r="K938" s="9">
        <v>2</v>
      </c>
      <c r="L938" s="9">
        <v>1575</v>
      </c>
      <c r="M938" s="9">
        <f t="shared" si="14"/>
        <v>3150</v>
      </c>
    </row>
    <row r="939" spans="6:13" x14ac:dyDescent="0.3">
      <c r="F939" s="7">
        <v>44421</v>
      </c>
      <c r="G939" s="8" t="s">
        <v>19</v>
      </c>
      <c r="H939" s="8" t="s">
        <v>18</v>
      </c>
      <c r="I939" s="8" t="s">
        <v>10</v>
      </c>
      <c r="J939" s="8" t="s">
        <v>11</v>
      </c>
      <c r="K939" s="9">
        <v>5</v>
      </c>
      <c r="L939" s="9">
        <v>790</v>
      </c>
      <c r="M939" s="9">
        <f t="shared" si="14"/>
        <v>3950</v>
      </c>
    </row>
    <row r="940" spans="6:13" x14ac:dyDescent="0.3">
      <c r="F940" s="7">
        <v>44421</v>
      </c>
      <c r="G940" s="8" t="s">
        <v>8</v>
      </c>
      <c r="H940" s="8" t="s">
        <v>9</v>
      </c>
      <c r="I940" s="8" t="s">
        <v>20</v>
      </c>
      <c r="J940" s="8" t="s">
        <v>21</v>
      </c>
      <c r="K940" s="9">
        <v>5</v>
      </c>
      <c r="L940" s="9">
        <v>2001</v>
      </c>
      <c r="M940" s="9">
        <f t="shared" si="14"/>
        <v>10005</v>
      </c>
    </row>
    <row r="941" spans="6:13" x14ac:dyDescent="0.3">
      <c r="F941" s="7">
        <v>44421</v>
      </c>
      <c r="G941" s="8" t="s">
        <v>12</v>
      </c>
      <c r="H941" s="8" t="s">
        <v>13</v>
      </c>
      <c r="I941" s="8" t="s">
        <v>22</v>
      </c>
      <c r="J941" s="8" t="s">
        <v>21</v>
      </c>
      <c r="K941" s="9">
        <v>57</v>
      </c>
      <c r="L941" s="9">
        <v>75</v>
      </c>
      <c r="M941" s="9">
        <f t="shared" si="14"/>
        <v>4275</v>
      </c>
    </row>
    <row r="942" spans="6:13" x14ac:dyDescent="0.3">
      <c r="F942" s="7">
        <v>44421</v>
      </c>
      <c r="G942" s="8" t="s">
        <v>15</v>
      </c>
      <c r="H942" s="8" t="s">
        <v>13</v>
      </c>
      <c r="I942" s="8" t="s">
        <v>22</v>
      </c>
      <c r="J942" s="8" t="s">
        <v>21</v>
      </c>
      <c r="K942" s="9">
        <v>6</v>
      </c>
      <c r="L942" s="9">
        <v>315</v>
      </c>
      <c r="M942" s="9">
        <f t="shared" si="14"/>
        <v>1890</v>
      </c>
    </row>
    <row r="943" spans="6:13" x14ac:dyDescent="0.3">
      <c r="F943" s="7">
        <v>44421</v>
      </c>
      <c r="G943" s="8" t="s">
        <v>16</v>
      </c>
      <c r="H943" s="8" t="s">
        <v>9</v>
      </c>
      <c r="I943" s="8" t="s">
        <v>20</v>
      </c>
      <c r="J943" s="8" t="s">
        <v>21</v>
      </c>
      <c r="K943" s="9">
        <v>4</v>
      </c>
      <c r="L943" s="9">
        <v>1080</v>
      </c>
      <c r="M943" s="9">
        <f t="shared" si="14"/>
        <v>4320</v>
      </c>
    </row>
    <row r="944" spans="6:13" x14ac:dyDescent="0.3">
      <c r="F944" s="7">
        <v>44421</v>
      </c>
      <c r="G944" s="8" t="s">
        <v>17</v>
      </c>
      <c r="H944" s="8" t="s">
        <v>18</v>
      </c>
      <c r="I944" s="8" t="s">
        <v>20</v>
      </c>
      <c r="J944" s="8" t="s">
        <v>21</v>
      </c>
      <c r="K944" s="9">
        <v>6</v>
      </c>
      <c r="L944" s="9">
        <v>1575</v>
      </c>
      <c r="M944" s="9">
        <f t="shared" si="14"/>
        <v>9450</v>
      </c>
    </row>
    <row r="945" spans="6:13" x14ac:dyDescent="0.3">
      <c r="F945" s="7">
        <v>44421</v>
      </c>
      <c r="G945" s="8" t="s">
        <v>19</v>
      </c>
      <c r="H945" s="8" t="s">
        <v>18</v>
      </c>
      <c r="I945" s="8" t="s">
        <v>20</v>
      </c>
      <c r="J945" s="8" t="s">
        <v>21</v>
      </c>
      <c r="K945" s="9">
        <v>5</v>
      </c>
      <c r="L945" s="9">
        <v>790</v>
      </c>
      <c r="M945" s="9">
        <f t="shared" si="14"/>
        <v>3950</v>
      </c>
    </row>
    <row r="946" spans="6:13" x14ac:dyDescent="0.3">
      <c r="F946" s="7">
        <v>44421</v>
      </c>
      <c r="G946" s="8" t="s">
        <v>8</v>
      </c>
      <c r="H946" s="8" t="s">
        <v>9</v>
      </c>
      <c r="I946" s="8" t="s">
        <v>23</v>
      </c>
      <c r="J946" s="8" t="s">
        <v>24</v>
      </c>
      <c r="K946" s="9">
        <v>5</v>
      </c>
      <c r="L946" s="9">
        <v>2001</v>
      </c>
      <c r="M946" s="9">
        <f t="shared" si="14"/>
        <v>10005</v>
      </c>
    </row>
    <row r="947" spans="6:13" x14ac:dyDescent="0.3">
      <c r="F947" s="7">
        <v>44421</v>
      </c>
      <c r="G947" s="8" t="s">
        <v>12</v>
      </c>
      <c r="H947" s="8" t="s">
        <v>13</v>
      </c>
      <c r="I947" s="8" t="s">
        <v>25</v>
      </c>
      <c r="J947" s="8" t="s">
        <v>24</v>
      </c>
      <c r="K947" s="9">
        <v>32</v>
      </c>
      <c r="L947" s="9">
        <v>75</v>
      </c>
      <c r="M947" s="9">
        <f t="shared" si="14"/>
        <v>2400</v>
      </c>
    </row>
    <row r="948" spans="6:13" x14ac:dyDescent="0.3">
      <c r="F948" s="7">
        <v>44421</v>
      </c>
      <c r="G948" s="8" t="s">
        <v>15</v>
      </c>
      <c r="H948" s="8" t="s">
        <v>13</v>
      </c>
      <c r="I948" s="8" t="s">
        <v>25</v>
      </c>
      <c r="J948" s="8" t="s">
        <v>24</v>
      </c>
      <c r="K948" s="9">
        <v>6</v>
      </c>
      <c r="L948" s="9">
        <v>315</v>
      </c>
      <c r="M948" s="9">
        <f t="shared" si="14"/>
        <v>1890</v>
      </c>
    </row>
    <row r="949" spans="6:13" x14ac:dyDescent="0.3">
      <c r="F949" s="7">
        <v>44421</v>
      </c>
      <c r="G949" s="8" t="s">
        <v>16</v>
      </c>
      <c r="H949" s="8" t="s">
        <v>9</v>
      </c>
      <c r="I949" s="8" t="s">
        <v>23</v>
      </c>
      <c r="J949" s="8" t="s">
        <v>24</v>
      </c>
      <c r="K949" s="9">
        <v>3</v>
      </c>
      <c r="L949" s="9">
        <v>1080</v>
      </c>
      <c r="M949" s="9">
        <f t="shared" si="14"/>
        <v>3240</v>
      </c>
    </row>
    <row r="950" spans="6:13" x14ac:dyDescent="0.3">
      <c r="F950" s="7">
        <v>44421</v>
      </c>
      <c r="G950" s="8" t="s">
        <v>17</v>
      </c>
      <c r="H950" s="8" t="s">
        <v>18</v>
      </c>
      <c r="I950" s="8" t="s">
        <v>25</v>
      </c>
      <c r="J950" s="8" t="s">
        <v>24</v>
      </c>
      <c r="K950" s="9">
        <v>3</v>
      </c>
      <c r="L950" s="9">
        <v>1575</v>
      </c>
      <c r="M950" s="9">
        <f t="shared" si="14"/>
        <v>4725</v>
      </c>
    </row>
    <row r="951" spans="6:13" x14ac:dyDescent="0.3">
      <c r="F951" s="7">
        <v>44421</v>
      </c>
      <c r="G951" s="8" t="s">
        <v>19</v>
      </c>
      <c r="H951" s="8" t="s">
        <v>18</v>
      </c>
      <c r="I951" s="8" t="s">
        <v>25</v>
      </c>
      <c r="J951" s="8" t="s">
        <v>24</v>
      </c>
      <c r="K951" s="9">
        <v>5</v>
      </c>
      <c r="L951" s="9">
        <v>790</v>
      </c>
      <c r="M951" s="9">
        <f t="shared" si="14"/>
        <v>3950</v>
      </c>
    </row>
    <row r="952" spans="6:13" x14ac:dyDescent="0.3">
      <c r="F952" s="7">
        <v>44421</v>
      </c>
      <c r="G952" s="8" t="s">
        <v>8</v>
      </c>
      <c r="H952" s="8" t="s">
        <v>9</v>
      </c>
      <c r="I952" s="8" t="s">
        <v>26</v>
      </c>
      <c r="J952" s="8" t="s">
        <v>27</v>
      </c>
      <c r="K952" s="9">
        <v>5</v>
      </c>
      <c r="L952" s="9">
        <v>2001</v>
      </c>
      <c r="M952" s="9">
        <f t="shared" si="14"/>
        <v>10005</v>
      </c>
    </row>
    <row r="953" spans="6:13" x14ac:dyDescent="0.3">
      <c r="F953" s="7">
        <v>44421</v>
      </c>
      <c r="G953" s="8" t="s">
        <v>12</v>
      </c>
      <c r="H953" s="8" t="s">
        <v>13</v>
      </c>
      <c r="I953" s="8" t="s">
        <v>26</v>
      </c>
      <c r="J953" s="8" t="s">
        <v>27</v>
      </c>
      <c r="K953" s="9">
        <v>51</v>
      </c>
      <c r="L953" s="9">
        <v>75</v>
      </c>
      <c r="M953" s="9">
        <f t="shared" si="14"/>
        <v>3825</v>
      </c>
    </row>
    <row r="954" spans="6:13" x14ac:dyDescent="0.3">
      <c r="F954" s="7">
        <v>44421</v>
      </c>
      <c r="G954" s="8" t="s">
        <v>15</v>
      </c>
      <c r="H954" s="8" t="s">
        <v>13</v>
      </c>
      <c r="I954" s="8" t="s">
        <v>26</v>
      </c>
      <c r="J954" s="8" t="s">
        <v>27</v>
      </c>
      <c r="K954" s="9">
        <v>13</v>
      </c>
      <c r="L954" s="9">
        <v>315</v>
      </c>
      <c r="M954" s="9">
        <f t="shared" si="14"/>
        <v>4095</v>
      </c>
    </row>
    <row r="955" spans="6:13" x14ac:dyDescent="0.3">
      <c r="F955" s="7">
        <v>44421</v>
      </c>
      <c r="G955" s="8" t="s">
        <v>16</v>
      </c>
      <c r="H955" s="8" t="s">
        <v>9</v>
      </c>
      <c r="I955" s="8" t="s">
        <v>26</v>
      </c>
      <c r="J955" s="8" t="s">
        <v>27</v>
      </c>
      <c r="K955" s="9">
        <v>3</v>
      </c>
      <c r="L955" s="9">
        <v>1080</v>
      </c>
      <c r="M955" s="9">
        <f t="shared" si="14"/>
        <v>3240</v>
      </c>
    </row>
    <row r="956" spans="6:13" x14ac:dyDescent="0.3">
      <c r="F956" s="7">
        <v>44421</v>
      </c>
      <c r="G956" s="8" t="s">
        <v>17</v>
      </c>
      <c r="H956" s="8" t="s">
        <v>18</v>
      </c>
      <c r="I956" s="8" t="s">
        <v>28</v>
      </c>
      <c r="J956" s="8" t="s">
        <v>27</v>
      </c>
      <c r="K956" s="9">
        <v>4</v>
      </c>
      <c r="L956" s="9">
        <v>1575</v>
      </c>
      <c r="M956" s="9">
        <f t="shared" si="14"/>
        <v>6300</v>
      </c>
    </row>
    <row r="957" spans="6:13" x14ac:dyDescent="0.3">
      <c r="F957" s="7">
        <v>44421</v>
      </c>
      <c r="G957" s="8" t="s">
        <v>19</v>
      </c>
      <c r="H957" s="8" t="s">
        <v>18</v>
      </c>
      <c r="I957" s="8" t="s">
        <v>28</v>
      </c>
      <c r="J957" s="8" t="s">
        <v>27</v>
      </c>
      <c r="K957" s="9">
        <v>5</v>
      </c>
      <c r="L957" s="9">
        <v>790</v>
      </c>
      <c r="M957" s="9">
        <f t="shared" si="14"/>
        <v>3950</v>
      </c>
    </row>
    <row r="958" spans="6:13" x14ac:dyDescent="0.3">
      <c r="F958" s="7">
        <v>44421</v>
      </c>
      <c r="G958" s="8" t="s">
        <v>8</v>
      </c>
      <c r="H958" s="8" t="s">
        <v>9</v>
      </c>
      <c r="I958" s="8" t="s">
        <v>29</v>
      </c>
      <c r="J958" s="8" t="s">
        <v>30</v>
      </c>
      <c r="K958" s="9">
        <v>3</v>
      </c>
      <c r="L958" s="9">
        <v>2001</v>
      </c>
      <c r="M958" s="9">
        <f t="shared" si="14"/>
        <v>6003</v>
      </c>
    </row>
    <row r="959" spans="6:13" x14ac:dyDescent="0.3">
      <c r="F959" s="7">
        <v>44421</v>
      </c>
      <c r="G959" s="8" t="s">
        <v>12</v>
      </c>
      <c r="H959" s="8" t="s">
        <v>13</v>
      </c>
      <c r="I959" s="8" t="s">
        <v>31</v>
      </c>
      <c r="J959" s="8" t="s">
        <v>30</v>
      </c>
      <c r="K959" s="9">
        <v>56</v>
      </c>
      <c r="L959" s="9">
        <v>75</v>
      </c>
      <c r="M959" s="9">
        <f t="shared" si="14"/>
        <v>4200</v>
      </c>
    </row>
    <row r="960" spans="6:13" x14ac:dyDescent="0.3">
      <c r="F960" s="7">
        <v>44421</v>
      </c>
      <c r="G960" s="8" t="s">
        <v>15</v>
      </c>
      <c r="H960" s="8" t="s">
        <v>13</v>
      </c>
      <c r="I960" s="8" t="s">
        <v>31</v>
      </c>
      <c r="J960" s="8" t="s">
        <v>30</v>
      </c>
      <c r="K960" s="9">
        <v>7</v>
      </c>
      <c r="L960" s="9">
        <v>315</v>
      </c>
      <c r="M960" s="9">
        <f t="shared" si="14"/>
        <v>2205</v>
      </c>
    </row>
    <row r="961" spans="6:13" x14ac:dyDescent="0.3">
      <c r="F961" s="7">
        <v>44421</v>
      </c>
      <c r="G961" s="8" t="s">
        <v>16</v>
      </c>
      <c r="H961" s="8" t="s">
        <v>9</v>
      </c>
      <c r="I961" s="8" t="s">
        <v>29</v>
      </c>
      <c r="J961" s="8" t="s">
        <v>30</v>
      </c>
      <c r="K961" s="9">
        <v>5</v>
      </c>
      <c r="L961" s="9">
        <v>1080</v>
      </c>
      <c r="M961" s="9">
        <f t="shared" si="14"/>
        <v>5400</v>
      </c>
    </row>
    <row r="962" spans="6:13" x14ac:dyDescent="0.3">
      <c r="F962" s="7">
        <v>44421</v>
      </c>
      <c r="G962" s="8" t="s">
        <v>17</v>
      </c>
      <c r="H962" s="8" t="s">
        <v>18</v>
      </c>
      <c r="I962" s="8" t="s">
        <v>29</v>
      </c>
      <c r="J962" s="8" t="s">
        <v>30</v>
      </c>
      <c r="K962" s="9">
        <v>5</v>
      </c>
      <c r="L962" s="9">
        <v>1575</v>
      </c>
      <c r="M962" s="9">
        <f t="shared" si="14"/>
        <v>7875</v>
      </c>
    </row>
    <row r="963" spans="6:13" x14ac:dyDescent="0.3">
      <c r="F963" s="7">
        <v>44421</v>
      </c>
      <c r="G963" s="8" t="s">
        <v>19</v>
      </c>
      <c r="H963" s="8" t="s">
        <v>18</v>
      </c>
      <c r="I963" s="8" t="s">
        <v>29</v>
      </c>
      <c r="J963" s="8" t="s">
        <v>30</v>
      </c>
      <c r="K963" s="9">
        <v>11</v>
      </c>
      <c r="L963" s="9">
        <v>790</v>
      </c>
      <c r="M963" s="9">
        <f t="shared" si="14"/>
        <v>8690</v>
      </c>
    </row>
    <row r="964" spans="6:13" x14ac:dyDescent="0.3">
      <c r="F964" s="7">
        <v>44428</v>
      </c>
      <c r="G964" s="8" t="s">
        <v>8</v>
      </c>
      <c r="H964" s="8" t="s">
        <v>9</v>
      </c>
      <c r="I964" s="8" t="s">
        <v>14</v>
      </c>
      <c r="J964" s="8" t="s">
        <v>11</v>
      </c>
      <c r="K964" s="9">
        <v>5</v>
      </c>
      <c r="L964" s="9">
        <v>2001</v>
      </c>
      <c r="M964" s="9">
        <f t="shared" ref="M964:M1027" si="15">K964*L964</f>
        <v>10005</v>
      </c>
    </row>
    <row r="965" spans="6:13" x14ac:dyDescent="0.3">
      <c r="F965" s="7">
        <v>44428</v>
      </c>
      <c r="G965" s="8" t="s">
        <v>12</v>
      </c>
      <c r="H965" s="8" t="s">
        <v>13</v>
      </c>
      <c r="I965" s="8" t="s">
        <v>14</v>
      </c>
      <c r="J965" s="8" t="s">
        <v>11</v>
      </c>
      <c r="K965" s="9">
        <v>55</v>
      </c>
      <c r="L965" s="9">
        <v>75</v>
      </c>
      <c r="M965" s="9">
        <f t="shared" si="15"/>
        <v>4125</v>
      </c>
    </row>
    <row r="966" spans="6:13" x14ac:dyDescent="0.3">
      <c r="F966" s="7">
        <v>44428</v>
      </c>
      <c r="G966" s="8" t="s">
        <v>15</v>
      </c>
      <c r="H966" s="8" t="s">
        <v>13</v>
      </c>
      <c r="I966" s="8" t="s">
        <v>14</v>
      </c>
      <c r="J966" s="8" t="s">
        <v>11</v>
      </c>
      <c r="K966" s="9">
        <v>12</v>
      </c>
      <c r="L966" s="9">
        <v>315</v>
      </c>
      <c r="M966" s="9">
        <f t="shared" si="15"/>
        <v>3780</v>
      </c>
    </row>
    <row r="967" spans="6:13" x14ac:dyDescent="0.3">
      <c r="F967" s="7">
        <v>44428</v>
      </c>
      <c r="G967" s="8" t="s">
        <v>16</v>
      </c>
      <c r="H967" s="8" t="s">
        <v>9</v>
      </c>
      <c r="I967" s="8" t="s">
        <v>14</v>
      </c>
      <c r="J967" s="8" t="s">
        <v>11</v>
      </c>
      <c r="K967" s="9">
        <v>3</v>
      </c>
      <c r="L967" s="9">
        <v>1080</v>
      </c>
      <c r="M967" s="9">
        <f t="shared" si="15"/>
        <v>3240</v>
      </c>
    </row>
    <row r="968" spans="6:13" x14ac:dyDescent="0.3">
      <c r="F968" s="7">
        <v>44428</v>
      </c>
      <c r="G968" s="8" t="s">
        <v>17</v>
      </c>
      <c r="H968" s="8" t="s">
        <v>18</v>
      </c>
      <c r="I968" s="8" t="s">
        <v>10</v>
      </c>
      <c r="J968" s="8" t="s">
        <v>11</v>
      </c>
      <c r="K968" s="9">
        <v>6</v>
      </c>
      <c r="L968" s="9">
        <v>1575</v>
      </c>
      <c r="M968" s="9">
        <f t="shared" si="15"/>
        <v>9450</v>
      </c>
    </row>
    <row r="969" spans="6:13" x14ac:dyDescent="0.3">
      <c r="F969" s="7">
        <v>44428</v>
      </c>
      <c r="G969" s="8" t="s">
        <v>19</v>
      </c>
      <c r="H969" s="8" t="s">
        <v>18</v>
      </c>
      <c r="I969" s="8" t="s">
        <v>10</v>
      </c>
      <c r="J969" s="8" t="s">
        <v>11</v>
      </c>
      <c r="K969" s="9">
        <v>10</v>
      </c>
      <c r="L969" s="9">
        <v>790</v>
      </c>
      <c r="M969" s="9">
        <f t="shared" si="15"/>
        <v>7900</v>
      </c>
    </row>
    <row r="970" spans="6:13" x14ac:dyDescent="0.3">
      <c r="F970" s="7">
        <v>44428</v>
      </c>
      <c r="G970" s="8" t="s">
        <v>8</v>
      </c>
      <c r="H970" s="8" t="s">
        <v>9</v>
      </c>
      <c r="I970" s="8" t="s">
        <v>20</v>
      </c>
      <c r="J970" s="8" t="s">
        <v>21</v>
      </c>
      <c r="K970" s="9">
        <v>3</v>
      </c>
      <c r="L970" s="9">
        <v>2001</v>
      </c>
      <c r="M970" s="9">
        <f t="shared" si="15"/>
        <v>6003</v>
      </c>
    </row>
    <row r="971" spans="6:13" x14ac:dyDescent="0.3">
      <c r="F971" s="7">
        <v>44428</v>
      </c>
      <c r="G971" s="8" t="s">
        <v>12</v>
      </c>
      <c r="H971" s="8" t="s">
        <v>13</v>
      </c>
      <c r="I971" s="8" t="s">
        <v>22</v>
      </c>
      <c r="J971" s="8" t="s">
        <v>21</v>
      </c>
      <c r="K971" s="9">
        <v>46</v>
      </c>
      <c r="L971" s="9">
        <v>75</v>
      </c>
      <c r="M971" s="9">
        <f t="shared" si="15"/>
        <v>3450</v>
      </c>
    </row>
    <row r="972" spans="6:13" x14ac:dyDescent="0.3">
      <c r="F972" s="7">
        <v>44428</v>
      </c>
      <c r="G972" s="8" t="s">
        <v>15</v>
      </c>
      <c r="H972" s="8" t="s">
        <v>13</v>
      </c>
      <c r="I972" s="8" t="s">
        <v>22</v>
      </c>
      <c r="J972" s="8" t="s">
        <v>21</v>
      </c>
      <c r="K972" s="9">
        <v>12</v>
      </c>
      <c r="L972" s="9">
        <v>315</v>
      </c>
      <c r="M972" s="9">
        <f t="shared" si="15"/>
        <v>3780</v>
      </c>
    </row>
    <row r="973" spans="6:13" x14ac:dyDescent="0.3">
      <c r="F973" s="7">
        <v>44428</v>
      </c>
      <c r="G973" s="8" t="s">
        <v>16</v>
      </c>
      <c r="H973" s="8" t="s">
        <v>9</v>
      </c>
      <c r="I973" s="8" t="s">
        <v>20</v>
      </c>
      <c r="J973" s="8" t="s">
        <v>21</v>
      </c>
      <c r="K973" s="9">
        <v>3</v>
      </c>
      <c r="L973" s="9">
        <v>1080</v>
      </c>
      <c r="M973" s="9">
        <f t="shared" si="15"/>
        <v>3240</v>
      </c>
    </row>
    <row r="974" spans="6:13" x14ac:dyDescent="0.3">
      <c r="F974" s="7">
        <v>44428</v>
      </c>
      <c r="G974" s="8" t="s">
        <v>17</v>
      </c>
      <c r="H974" s="8" t="s">
        <v>18</v>
      </c>
      <c r="I974" s="8" t="s">
        <v>20</v>
      </c>
      <c r="J974" s="8" t="s">
        <v>21</v>
      </c>
      <c r="K974" s="9">
        <v>2</v>
      </c>
      <c r="L974" s="9">
        <v>1575</v>
      </c>
      <c r="M974" s="9">
        <f t="shared" si="15"/>
        <v>3150</v>
      </c>
    </row>
    <row r="975" spans="6:13" x14ac:dyDescent="0.3">
      <c r="F975" s="7">
        <v>44428</v>
      </c>
      <c r="G975" s="8" t="s">
        <v>19</v>
      </c>
      <c r="H975" s="8" t="s">
        <v>18</v>
      </c>
      <c r="I975" s="8" t="s">
        <v>20</v>
      </c>
      <c r="J975" s="8" t="s">
        <v>21</v>
      </c>
      <c r="K975" s="9">
        <v>6</v>
      </c>
      <c r="L975" s="9">
        <v>790</v>
      </c>
      <c r="M975" s="9">
        <f t="shared" si="15"/>
        <v>4740</v>
      </c>
    </row>
    <row r="976" spans="6:13" x14ac:dyDescent="0.3">
      <c r="F976" s="7">
        <v>44428</v>
      </c>
      <c r="G976" s="8" t="s">
        <v>8</v>
      </c>
      <c r="H976" s="8" t="s">
        <v>9</v>
      </c>
      <c r="I976" s="8" t="s">
        <v>23</v>
      </c>
      <c r="J976" s="8" t="s">
        <v>24</v>
      </c>
      <c r="K976" s="9">
        <v>3</v>
      </c>
      <c r="L976" s="9">
        <v>2001</v>
      </c>
      <c r="M976" s="9">
        <f t="shared" si="15"/>
        <v>6003</v>
      </c>
    </row>
    <row r="977" spans="6:13" x14ac:dyDescent="0.3">
      <c r="F977" s="7">
        <v>44428</v>
      </c>
      <c r="G977" s="8" t="s">
        <v>12</v>
      </c>
      <c r="H977" s="8" t="s">
        <v>13</v>
      </c>
      <c r="I977" s="8" t="s">
        <v>25</v>
      </c>
      <c r="J977" s="8" t="s">
        <v>24</v>
      </c>
      <c r="K977" s="9">
        <v>35</v>
      </c>
      <c r="L977" s="9">
        <v>75</v>
      </c>
      <c r="M977" s="9">
        <f t="shared" si="15"/>
        <v>2625</v>
      </c>
    </row>
    <row r="978" spans="6:13" x14ac:dyDescent="0.3">
      <c r="F978" s="7">
        <v>44428</v>
      </c>
      <c r="G978" s="8" t="s">
        <v>15</v>
      </c>
      <c r="H978" s="8" t="s">
        <v>13</v>
      </c>
      <c r="I978" s="8" t="s">
        <v>25</v>
      </c>
      <c r="J978" s="8" t="s">
        <v>24</v>
      </c>
      <c r="K978" s="9">
        <v>11</v>
      </c>
      <c r="L978" s="9">
        <v>315</v>
      </c>
      <c r="M978" s="9">
        <f t="shared" si="15"/>
        <v>3465</v>
      </c>
    </row>
    <row r="979" spans="6:13" x14ac:dyDescent="0.3">
      <c r="F979" s="7">
        <v>44428</v>
      </c>
      <c r="G979" s="8" t="s">
        <v>16</v>
      </c>
      <c r="H979" s="8" t="s">
        <v>9</v>
      </c>
      <c r="I979" s="8" t="s">
        <v>23</v>
      </c>
      <c r="J979" s="8" t="s">
        <v>24</v>
      </c>
      <c r="K979" s="9">
        <v>2</v>
      </c>
      <c r="L979" s="9">
        <v>1080</v>
      </c>
      <c r="M979" s="9">
        <f t="shared" si="15"/>
        <v>2160</v>
      </c>
    </row>
    <row r="980" spans="6:13" x14ac:dyDescent="0.3">
      <c r="F980" s="7">
        <v>44428</v>
      </c>
      <c r="G980" s="8" t="s">
        <v>17</v>
      </c>
      <c r="H980" s="8" t="s">
        <v>18</v>
      </c>
      <c r="I980" s="8" t="s">
        <v>25</v>
      </c>
      <c r="J980" s="8" t="s">
        <v>24</v>
      </c>
      <c r="K980" s="9">
        <v>4</v>
      </c>
      <c r="L980" s="9">
        <v>1575</v>
      </c>
      <c r="M980" s="9">
        <f t="shared" si="15"/>
        <v>6300</v>
      </c>
    </row>
    <row r="981" spans="6:13" x14ac:dyDescent="0.3">
      <c r="F981" s="7">
        <v>44428</v>
      </c>
      <c r="G981" s="8" t="s">
        <v>19</v>
      </c>
      <c r="H981" s="8" t="s">
        <v>18</v>
      </c>
      <c r="I981" s="8" t="s">
        <v>25</v>
      </c>
      <c r="J981" s="8" t="s">
        <v>24</v>
      </c>
      <c r="K981" s="9">
        <v>4</v>
      </c>
      <c r="L981" s="9">
        <v>790</v>
      </c>
      <c r="M981" s="9">
        <f t="shared" si="15"/>
        <v>3160</v>
      </c>
    </row>
    <row r="982" spans="6:13" x14ac:dyDescent="0.3">
      <c r="F982" s="7">
        <v>44428</v>
      </c>
      <c r="G982" s="8" t="s">
        <v>8</v>
      </c>
      <c r="H982" s="8" t="s">
        <v>9</v>
      </c>
      <c r="I982" s="8" t="s">
        <v>26</v>
      </c>
      <c r="J982" s="8" t="s">
        <v>27</v>
      </c>
      <c r="K982" s="9">
        <v>6</v>
      </c>
      <c r="L982" s="9">
        <v>2001</v>
      </c>
      <c r="M982" s="9">
        <f t="shared" si="15"/>
        <v>12006</v>
      </c>
    </row>
    <row r="983" spans="6:13" x14ac:dyDescent="0.3">
      <c r="F983" s="7">
        <v>44428</v>
      </c>
      <c r="G983" s="8" t="s">
        <v>12</v>
      </c>
      <c r="H983" s="8" t="s">
        <v>13</v>
      </c>
      <c r="I983" s="8" t="s">
        <v>26</v>
      </c>
      <c r="J983" s="8" t="s">
        <v>27</v>
      </c>
      <c r="K983" s="9">
        <v>46</v>
      </c>
      <c r="L983" s="9">
        <v>75</v>
      </c>
      <c r="M983" s="9">
        <f t="shared" si="15"/>
        <v>3450</v>
      </c>
    </row>
    <row r="984" spans="6:13" x14ac:dyDescent="0.3">
      <c r="F984" s="7">
        <v>44428</v>
      </c>
      <c r="G984" s="8" t="s">
        <v>15</v>
      </c>
      <c r="H984" s="8" t="s">
        <v>13</v>
      </c>
      <c r="I984" s="8" t="s">
        <v>26</v>
      </c>
      <c r="J984" s="8" t="s">
        <v>27</v>
      </c>
      <c r="K984" s="9">
        <v>7</v>
      </c>
      <c r="L984" s="9">
        <v>315</v>
      </c>
      <c r="M984" s="9">
        <f t="shared" si="15"/>
        <v>2205</v>
      </c>
    </row>
    <row r="985" spans="6:13" x14ac:dyDescent="0.3">
      <c r="F985" s="7">
        <v>44428</v>
      </c>
      <c r="G985" s="8" t="s">
        <v>16</v>
      </c>
      <c r="H985" s="8" t="s">
        <v>9</v>
      </c>
      <c r="I985" s="8" t="s">
        <v>26</v>
      </c>
      <c r="J985" s="8" t="s">
        <v>27</v>
      </c>
      <c r="K985" s="9">
        <v>5</v>
      </c>
      <c r="L985" s="9">
        <v>1080</v>
      </c>
      <c r="M985" s="9">
        <f t="shared" si="15"/>
        <v>5400</v>
      </c>
    </row>
    <row r="986" spans="6:13" x14ac:dyDescent="0.3">
      <c r="F986" s="7">
        <v>44428</v>
      </c>
      <c r="G986" s="8" t="s">
        <v>17</v>
      </c>
      <c r="H986" s="8" t="s">
        <v>18</v>
      </c>
      <c r="I986" s="8" t="s">
        <v>28</v>
      </c>
      <c r="J986" s="8" t="s">
        <v>27</v>
      </c>
      <c r="K986" s="9">
        <v>2</v>
      </c>
      <c r="L986" s="9">
        <v>1575</v>
      </c>
      <c r="M986" s="9">
        <f t="shared" si="15"/>
        <v>3150</v>
      </c>
    </row>
    <row r="987" spans="6:13" x14ac:dyDescent="0.3">
      <c r="F987" s="7">
        <v>44428</v>
      </c>
      <c r="G987" s="8" t="s">
        <v>19</v>
      </c>
      <c r="H987" s="8" t="s">
        <v>18</v>
      </c>
      <c r="I987" s="8" t="s">
        <v>28</v>
      </c>
      <c r="J987" s="8" t="s">
        <v>27</v>
      </c>
      <c r="K987" s="9">
        <v>5</v>
      </c>
      <c r="L987" s="9">
        <v>790</v>
      </c>
      <c r="M987" s="9">
        <f t="shared" si="15"/>
        <v>3950</v>
      </c>
    </row>
    <row r="988" spans="6:13" x14ac:dyDescent="0.3">
      <c r="F988" s="7">
        <v>44428</v>
      </c>
      <c r="G988" s="8" t="s">
        <v>8</v>
      </c>
      <c r="H988" s="8" t="s">
        <v>9</v>
      </c>
      <c r="I988" s="8" t="s">
        <v>29</v>
      </c>
      <c r="J988" s="8" t="s">
        <v>30</v>
      </c>
      <c r="K988" s="9">
        <v>4</v>
      </c>
      <c r="L988" s="9">
        <v>2001</v>
      </c>
      <c r="M988" s="9">
        <f t="shared" si="15"/>
        <v>8004</v>
      </c>
    </row>
    <row r="989" spans="6:13" x14ac:dyDescent="0.3">
      <c r="F989" s="7">
        <v>44428</v>
      </c>
      <c r="G989" s="8" t="s">
        <v>12</v>
      </c>
      <c r="H989" s="8" t="s">
        <v>13</v>
      </c>
      <c r="I989" s="8" t="s">
        <v>31</v>
      </c>
      <c r="J989" s="8" t="s">
        <v>30</v>
      </c>
      <c r="K989" s="9">
        <v>47</v>
      </c>
      <c r="L989" s="9">
        <v>75</v>
      </c>
      <c r="M989" s="9">
        <f t="shared" si="15"/>
        <v>3525</v>
      </c>
    </row>
    <row r="990" spans="6:13" x14ac:dyDescent="0.3">
      <c r="F990" s="7">
        <v>44428</v>
      </c>
      <c r="G990" s="8" t="s">
        <v>15</v>
      </c>
      <c r="H990" s="8" t="s">
        <v>13</v>
      </c>
      <c r="I990" s="8" t="s">
        <v>31</v>
      </c>
      <c r="J990" s="8" t="s">
        <v>30</v>
      </c>
      <c r="K990" s="9">
        <v>12</v>
      </c>
      <c r="L990" s="9">
        <v>315</v>
      </c>
      <c r="M990" s="9">
        <f t="shared" si="15"/>
        <v>3780</v>
      </c>
    </row>
    <row r="991" spans="6:13" x14ac:dyDescent="0.3">
      <c r="F991" s="7">
        <v>44428</v>
      </c>
      <c r="G991" s="8" t="s">
        <v>16</v>
      </c>
      <c r="H991" s="8" t="s">
        <v>9</v>
      </c>
      <c r="I991" s="8" t="s">
        <v>29</v>
      </c>
      <c r="J991" s="8" t="s">
        <v>30</v>
      </c>
      <c r="K991" s="9">
        <v>3</v>
      </c>
      <c r="L991" s="9">
        <v>1080</v>
      </c>
      <c r="M991" s="9">
        <f t="shared" si="15"/>
        <v>3240</v>
      </c>
    </row>
    <row r="992" spans="6:13" x14ac:dyDescent="0.3">
      <c r="F992" s="7">
        <v>44428</v>
      </c>
      <c r="G992" s="8" t="s">
        <v>17</v>
      </c>
      <c r="H992" s="8" t="s">
        <v>18</v>
      </c>
      <c r="I992" s="8" t="s">
        <v>29</v>
      </c>
      <c r="J992" s="8" t="s">
        <v>30</v>
      </c>
      <c r="K992" s="9">
        <v>3</v>
      </c>
      <c r="L992" s="9">
        <v>1575</v>
      </c>
      <c r="M992" s="9">
        <f t="shared" si="15"/>
        <v>4725</v>
      </c>
    </row>
    <row r="993" spans="6:13" x14ac:dyDescent="0.3">
      <c r="F993" s="7">
        <v>44428</v>
      </c>
      <c r="G993" s="8" t="s">
        <v>19</v>
      </c>
      <c r="H993" s="8" t="s">
        <v>18</v>
      </c>
      <c r="I993" s="8" t="s">
        <v>29</v>
      </c>
      <c r="J993" s="8" t="s">
        <v>30</v>
      </c>
      <c r="K993" s="9">
        <v>6</v>
      </c>
      <c r="L993" s="9">
        <v>790</v>
      </c>
      <c r="M993" s="9">
        <f t="shared" si="15"/>
        <v>4740</v>
      </c>
    </row>
    <row r="994" spans="6:13" x14ac:dyDescent="0.3">
      <c r="F994" s="7">
        <v>44435</v>
      </c>
      <c r="G994" s="8" t="s">
        <v>8</v>
      </c>
      <c r="H994" s="8" t="s">
        <v>9</v>
      </c>
      <c r="I994" s="8" t="s">
        <v>14</v>
      </c>
      <c r="J994" s="8" t="s">
        <v>11</v>
      </c>
      <c r="K994" s="9">
        <v>4</v>
      </c>
      <c r="L994" s="9">
        <v>2001</v>
      </c>
      <c r="M994" s="9">
        <f t="shared" si="15"/>
        <v>8004</v>
      </c>
    </row>
    <row r="995" spans="6:13" x14ac:dyDescent="0.3">
      <c r="F995" s="7">
        <v>44435</v>
      </c>
      <c r="G995" s="8" t="s">
        <v>12</v>
      </c>
      <c r="H995" s="8" t="s">
        <v>13</v>
      </c>
      <c r="I995" s="8" t="s">
        <v>14</v>
      </c>
      <c r="J995" s="8" t="s">
        <v>11</v>
      </c>
      <c r="K995" s="9">
        <v>44</v>
      </c>
      <c r="L995" s="9">
        <v>75</v>
      </c>
      <c r="M995" s="9">
        <f t="shared" si="15"/>
        <v>3300</v>
      </c>
    </row>
    <row r="996" spans="6:13" x14ac:dyDescent="0.3">
      <c r="F996" s="7">
        <v>44435</v>
      </c>
      <c r="G996" s="8" t="s">
        <v>15</v>
      </c>
      <c r="H996" s="8" t="s">
        <v>13</v>
      </c>
      <c r="I996" s="8" t="s">
        <v>14</v>
      </c>
      <c r="J996" s="8" t="s">
        <v>11</v>
      </c>
      <c r="K996" s="9">
        <v>9</v>
      </c>
      <c r="L996" s="9">
        <v>315</v>
      </c>
      <c r="M996" s="9">
        <f t="shared" si="15"/>
        <v>2835</v>
      </c>
    </row>
    <row r="997" spans="6:13" x14ac:dyDescent="0.3">
      <c r="F997" s="7">
        <v>44435</v>
      </c>
      <c r="G997" s="8" t="s">
        <v>16</v>
      </c>
      <c r="H997" s="8" t="s">
        <v>9</v>
      </c>
      <c r="I997" s="8" t="s">
        <v>14</v>
      </c>
      <c r="J997" s="8" t="s">
        <v>11</v>
      </c>
      <c r="K997" s="9">
        <v>4</v>
      </c>
      <c r="L997" s="9">
        <v>1080</v>
      </c>
      <c r="M997" s="9">
        <f t="shared" si="15"/>
        <v>4320</v>
      </c>
    </row>
    <row r="998" spans="6:13" x14ac:dyDescent="0.3">
      <c r="F998" s="7">
        <v>44435</v>
      </c>
      <c r="G998" s="8" t="s">
        <v>17</v>
      </c>
      <c r="H998" s="8" t="s">
        <v>18</v>
      </c>
      <c r="I998" s="8" t="s">
        <v>10</v>
      </c>
      <c r="J998" s="8" t="s">
        <v>11</v>
      </c>
      <c r="K998" s="9">
        <v>5</v>
      </c>
      <c r="L998" s="9">
        <v>1575</v>
      </c>
      <c r="M998" s="9">
        <f t="shared" si="15"/>
        <v>7875</v>
      </c>
    </row>
    <row r="999" spans="6:13" x14ac:dyDescent="0.3">
      <c r="F999" s="7">
        <v>44435</v>
      </c>
      <c r="G999" s="8" t="s">
        <v>19</v>
      </c>
      <c r="H999" s="8" t="s">
        <v>18</v>
      </c>
      <c r="I999" s="8" t="s">
        <v>10</v>
      </c>
      <c r="J999" s="8" t="s">
        <v>11</v>
      </c>
      <c r="K999" s="9">
        <v>10</v>
      </c>
      <c r="L999" s="9">
        <v>790</v>
      </c>
      <c r="M999" s="9">
        <f t="shared" si="15"/>
        <v>7900</v>
      </c>
    </row>
    <row r="1000" spans="6:13" x14ac:dyDescent="0.3">
      <c r="F1000" s="7">
        <v>44435</v>
      </c>
      <c r="G1000" s="8" t="s">
        <v>8</v>
      </c>
      <c r="H1000" s="8" t="s">
        <v>9</v>
      </c>
      <c r="I1000" s="8" t="s">
        <v>20</v>
      </c>
      <c r="J1000" s="8" t="s">
        <v>21</v>
      </c>
      <c r="K1000" s="9">
        <v>3</v>
      </c>
      <c r="L1000" s="9">
        <v>2001</v>
      </c>
      <c r="M1000" s="9">
        <f t="shared" si="15"/>
        <v>6003</v>
      </c>
    </row>
    <row r="1001" spans="6:13" x14ac:dyDescent="0.3">
      <c r="F1001" s="7">
        <v>44435</v>
      </c>
      <c r="G1001" s="8" t="s">
        <v>12</v>
      </c>
      <c r="H1001" s="8" t="s">
        <v>13</v>
      </c>
      <c r="I1001" s="8" t="s">
        <v>22</v>
      </c>
      <c r="J1001" s="8" t="s">
        <v>21</v>
      </c>
      <c r="K1001" s="9">
        <v>56</v>
      </c>
      <c r="L1001" s="9">
        <v>75</v>
      </c>
      <c r="M1001" s="9">
        <f t="shared" si="15"/>
        <v>4200</v>
      </c>
    </row>
    <row r="1002" spans="6:13" x14ac:dyDescent="0.3">
      <c r="F1002" s="7">
        <v>44435</v>
      </c>
      <c r="G1002" s="8" t="s">
        <v>15</v>
      </c>
      <c r="H1002" s="8" t="s">
        <v>13</v>
      </c>
      <c r="I1002" s="8" t="s">
        <v>22</v>
      </c>
      <c r="J1002" s="8" t="s">
        <v>21</v>
      </c>
      <c r="K1002" s="9">
        <v>9</v>
      </c>
      <c r="L1002" s="9">
        <v>315</v>
      </c>
      <c r="M1002" s="9">
        <f t="shared" si="15"/>
        <v>2835</v>
      </c>
    </row>
    <row r="1003" spans="6:13" x14ac:dyDescent="0.3">
      <c r="F1003" s="7">
        <v>44435</v>
      </c>
      <c r="G1003" s="8" t="s">
        <v>16</v>
      </c>
      <c r="H1003" s="8" t="s">
        <v>9</v>
      </c>
      <c r="I1003" s="8" t="s">
        <v>20</v>
      </c>
      <c r="J1003" s="8" t="s">
        <v>21</v>
      </c>
      <c r="K1003" s="9">
        <v>6</v>
      </c>
      <c r="L1003" s="9">
        <v>1080</v>
      </c>
      <c r="M1003" s="9">
        <f t="shared" si="15"/>
        <v>6480</v>
      </c>
    </row>
    <row r="1004" spans="6:13" x14ac:dyDescent="0.3">
      <c r="F1004" s="7">
        <v>44435</v>
      </c>
      <c r="G1004" s="8" t="s">
        <v>17</v>
      </c>
      <c r="H1004" s="8" t="s">
        <v>18</v>
      </c>
      <c r="I1004" s="8" t="s">
        <v>20</v>
      </c>
      <c r="J1004" s="8" t="s">
        <v>21</v>
      </c>
      <c r="K1004" s="9">
        <v>2</v>
      </c>
      <c r="L1004" s="9">
        <v>1575</v>
      </c>
      <c r="M1004" s="9">
        <f t="shared" si="15"/>
        <v>3150</v>
      </c>
    </row>
    <row r="1005" spans="6:13" x14ac:dyDescent="0.3">
      <c r="F1005" s="7">
        <v>44435</v>
      </c>
      <c r="G1005" s="8" t="s">
        <v>19</v>
      </c>
      <c r="H1005" s="8" t="s">
        <v>18</v>
      </c>
      <c r="I1005" s="8" t="s">
        <v>20</v>
      </c>
      <c r="J1005" s="8" t="s">
        <v>21</v>
      </c>
      <c r="K1005" s="9">
        <v>6</v>
      </c>
      <c r="L1005" s="9">
        <v>790</v>
      </c>
      <c r="M1005" s="9">
        <f t="shared" si="15"/>
        <v>4740</v>
      </c>
    </row>
    <row r="1006" spans="6:13" x14ac:dyDescent="0.3">
      <c r="F1006" s="7">
        <v>44435</v>
      </c>
      <c r="G1006" s="8" t="s">
        <v>8</v>
      </c>
      <c r="H1006" s="8" t="s">
        <v>9</v>
      </c>
      <c r="I1006" s="8" t="s">
        <v>23</v>
      </c>
      <c r="J1006" s="8" t="s">
        <v>24</v>
      </c>
      <c r="K1006" s="9">
        <v>4</v>
      </c>
      <c r="L1006" s="9">
        <v>2001</v>
      </c>
      <c r="M1006" s="9">
        <f t="shared" si="15"/>
        <v>8004</v>
      </c>
    </row>
    <row r="1007" spans="6:13" x14ac:dyDescent="0.3">
      <c r="F1007" s="7">
        <v>44435</v>
      </c>
      <c r="G1007" s="8" t="s">
        <v>12</v>
      </c>
      <c r="H1007" s="8" t="s">
        <v>13</v>
      </c>
      <c r="I1007" s="8" t="s">
        <v>25</v>
      </c>
      <c r="J1007" s="8" t="s">
        <v>24</v>
      </c>
      <c r="K1007" s="9">
        <v>35</v>
      </c>
      <c r="L1007" s="9">
        <v>75</v>
      </c>
      <c r="M1007" s="9">
        <f t="shared" si="15"/>
        <v>2625</v>
      </c>
    </row>
    <row r="1008" spans="6:13" x14ac:dyDescent="0.3">
      <c r="F1008" s="7">
        <v>44435</v>
      </c>
      <c r="G1008" s="8" t="s">
        <v>15</v>
      </c>
      <c r="H1008" s="8" t="s">
        <v>13</v>
      </c>
      <c r="I1008" s="8" t="s">
        <v>25</v>
      </c>
      <c r="J1008" s="8" t="s">
        <v>24</v>
      </c>
      <c r="K1008" s="9">
        <v>4</v>
      </c>
      <c r="L1008" s="9">
        <v>315</v>
      </c>
      <c r="M1008" s="9">
        <f t="shared" si="15"/>
        <v>1260</v>
      </c>
    </row>
    <row r="1009" spans="6:13" x14ac:dyDescent="0.3">
      <c r="F1009" s="7">
        <v>44435</v>
      </c>
      <c r="G1009" s="8" t="s">
        <v>16</v>
      </c>
      <c r="H1009" s="8" t="s">
        <v>9</v>
      </c>
      <c r="I1009" s="8" t="s">
        <v>23</v>
      </c>
      <c r="J1009" s="8" t="s">
        <v>24</v>
      </c>
      <c r="K1009" s="9">
        <v>4</v>
      </c>
      <c r="L1009" s="9">
        <v>1080</v>
      </c>
      <c r="M1009" s="9">
        <f t="shared" si="15"/>
        <v>4320</v>
      </c>
    </row>
    <row r="1010" spans="6:13" x14ac:dyDescent="0.3">
      <c r="F1010" s="7">
        <v>44435</v>
      </c>
      <c r="G1010" s="8" t="s">
        <v>17</v>
      </c>
      <c r="H1010" s="8" t="s">
        <v>18</v>
      </c>
      <c r="I1010" s="8" t="s">
        <v>25</v>
      </c>
      <c r="J1010" s="8" t="s">
        <v>24</v>
      </c>
      <c r="K1010" s="9">
        <v>3</v>
      </c>
      <c r="L1010" s="9">
        <v>1575</v>
      </c>
      <c r="M1010" s="9">
        <f t="shared" si="15"/>
        <v>4725</v>
      </c>
    </row>
    <row r="1011" spans="6:13" x14ac:dyDescent="0.3">
      <c r="F1011" s="7">
        <v>44435</v>
      </c>
      <c r="G1011" s="8" t="s">
        <v>19</v>
      </c>
      <c r="H1011" s="8" t="s">
        <v>18</v>
      </c>
      <c r="I1011" s="8" t="s">
        <v>25</v>
      </c>
      <c r="J1011" s="8" t="s">
        <v>24</v>
      </c>
      <c r="K1011" s="9">
        <v>9</v>
      </c>
      <c r="L1011" s="9">
        <v>790</v>
      </c>
      <c r="M1011" s="9">
        <f t="shared" si="15"/>
        <v>7110</v>
      </c>
    </row>
    <row r="1012" spans="6:13" x14ac:dyDescent="0.3">
      <c r="F1012" s="7">
        <v>44435</v>
      </c>
      <c r="G1012" s="8" t="s">
        <v>8</v>
      </c>
      <c r="H1012" s="8" t="s">
        <v>9</v>
      </c>
      <c r="I1012" s="8" t="s">
        <v>26</v>
      </c>
      <c r="J1012" s="8" t="s">
        <v>27</v>
      </c>
      <c r="K1012" s="9">
        <v>5</v>
      </c>
      <c r="L1012" s="9">
        <v>2001</v>
      </c>
      <c r="M1012" s="9">
        <f t="shared" si="15"/>
        <v>10005</v>
      </c>
    </row>
    <row r="1013" spans="6:13" x14ac:dyDescent="0.3">
      <c r="F1013" s="7">
        <v>44435</v>
      </c>
      <c r="G1013" s="8" t="s">
        <v>12</v>
      </c>
      <c r="H1013" s="8" t="s">
        <v>13</v>
      </c>
      <c r="I1013" s="8" t="s">
        <v>28</v>
      </c>
      <c r="J1013" s="8" t="s">
        <v>27</v>
      </c>
      <c r="K1013" s="9">
        <v>52</v>
      </c>
      <c r="L1013" s="9">
        <v>75</v>
      </c>
      <c r="M1013" s="9">
        <f t="shared" si="15"/>
        <v>3900</v>
      </c>
    </row>
    <row r="1014" spans="6:13" x14ac:dyDescent="0.3">
      <c r="F1014" s="7">
        <v>44435</v>
      </c>
      <c r="G1014" s="8" t="s">
        <v>15</v>
      </c>
      <c r="H1014" s="8" t="s">
        <v>13</v>
      </c>
      <c r="I1014" s="8" t="s">
        <v>28</v>
      </c>
      <c r="J1014" s="8" t="s">
        <v>27</v>
      </c>
      <c r="K1014" s="9">
        <v>9</v>
      </c>
      <c r="L1014" s="9">
        <v>315</v>
      </c>
      <c r="M1014" s="9">
        <f t="shared" si="15"/>
        <v>2835</v>
      </c>
    </row>
    <row r="1015" spans="6:13" x14ac:dyDescent="0.3">
      <c r="F1015" s="7">
        <v>44435</v>
      </c>
      <c r="G1015" s="8" t="s">
        <v>16</v>
      </c>
      <c r="H1015" s="8" t="s">
        <v>9</v>
      </c>
      <c r="I1015" s="8" t="s">
        <v>26</v>
      </c>
      <c r="J1015" s="8" t="s">
        <v>27</v>
      </c>
      <c r="K1015" s="9">
        <v>2</v>
      </c>
      <c r="L1015" s="9">
        <v>1080</v>
      </c>
      <c r="M1015" s="9">
        <f t="shared" si="15"/>
        <v>2160</v>
      </c>
    </row>
    <row r="1016" spans="6:13" x14ac:dyDescent="0.3">
      <c r="F1016" s="7">
        <v>44435</v>
      </c>
      <c r="G1016" s="8" t="s">
        <v>17</v>
      </c>
      <c r="H1016" s="8" t="s">
        <v>18</v>
      </c>
      <c r="I1016" s="8" t="s">
        <v>28</v>
      </c>
      <c r="J1016" s="8" t="s">
        <v>27</v>
      </c>
      <c r="K1016" s="9">
        <v>5</v>
      </c>
      <c r="L1016" s="9">
        <v>1575</v>
      </c>
      <c r="M1016" s="9">
        <f t="shared" si="15"/>
        <v>7875</v>
      </c>
    </row>
    <row r="1017" spans="6:13" x14ac:dyDescent="0.3">
      <c r="F1017" s="7">
        <v>44435</v>
      </c>
      <c r="G1017" s="8" t="s">
        <v>19</v>
      </c>
      <c r="H1017" s="8" t="s">
        <v>18</v>
      </c>
      <c r="I1017" s="8" t="s">
        <v>28</v>
      </c>
      <c r="J1017" s="8" t="s">
        <v>27</v>
      </c>
      <c r="K1017" s="9">
        <v>6</v>
      </c>
      <c r="L1017" s="9">
        <v>790</v>
      </c>
      <c r="M1017" s="9">
        <f t="shared" si="15"/>
        <v>4740</v>
      </c>
    </row>
    <row r="1018" spans="6:13" x14ac:dyDescent="0.3">
      <c r="F1018" s="7">
        <v>44435</v>
      </c>
      <c r="G1018" s="8" t="s">
        <v>8</v>
      </c>
      <c r="H1018" s="8" t="s">
        <v>9</v>
      </c>
      <c r="I1018" s="8" t="s">
        <v>29</v>
      </c>
      <c r="J1018" s="8" t="s">
        <v>30</v>
      </c>
      <c r="K1018" s="9">
        <v>6</v>
      </c>
      <c r="L1018" s="9">
        <v>2001</v>
      </c>
      <c r="M1018" s="9">
        <f t="shared" si="15"/>
        <v>12006</v>
      </c>
    </row>
    <row r="1019" spans="6:13" x14ac:dyDescent="0.3">
      <c r="F1019" s="7">
        <v>44435</v>
      </c>
      <c r="G1019" s="8" t="s">
        <v>12</v>
      </c>
      <c r="H1019" s="8" t="s">
        <v>13</v>
      </c>
      <c r="I1019" s="8" t="s">
        <v>31</v>
      </c>
      <c r="J1019" s="8" t="s">
        <v>30</v>
      </c>
      <c r="K1019" s="9">
        <v>58</v>
      </c>
      <c r="L1019" s="9">
        <v>75</v>
      </c>
      <c r="M1019" s="9">
        <f t="shared" si="15"/>
        <v>4350</v>
      </c>
    </row>
    <row r="1020" spans="6:13" x14ac:dyDescent="0.3">
      <c r="F1020" s="7">
        <v>44435</v>
      </c>
      <c r="G1020" s="8" t="s">
        <v>15</v>
      </c>
      <c r="H1020" s="8" t="s">
        <v>13</v>
      </c>
      <c r="I1020" s="8" t="s">
        <v>31</v>
      </c>
      <c r="J1020" s="8" t="s">
        <v>30</v>
      </c>
      <c r="K1020" s="9">
        <v>9</v>
      </c>
      <c r="L1020" s="9">
        <v>315</v>
      </c>
      <c r="M1020" s="9">
        <f t="shared" si="15"/>
        <v>2835</v>
      </c>
    </row>
    <row r="1021" spans="6:13" x14ac:dyDescent="0.3">
      <c r="F1021" s="7">
        <v>44435</v>
      </c>
      <c r="G1021" s="8" t="s">
        <v>16</v>
      </c>
      <c r="H1021" s="8" t="s">
        <v>9</v>
      </c>
      <c r="I1021" s="8" t="s">
        <v>29</v>
      </c>
      <c r="J1021" s="8" t="s">
        <v>30</v>
      </c>
      <c r="K1021" s="9">
        <v>2</v>
      </c>
      <c r="L1021" s="9">
        <v>1080</v>
      </c>
      <c r="M1021" s="9">
        <f t="shared" si="15"/>
        <v>2160</v>
      </c>
    </row>
    <row r="1022" spans="6:13" x14ac:dyDescent="0.3">
      <c r="F1022" s="7">
        <v>44435</v>
      </c>
      <c r="G1022" s="8" t="s">
        <v>17</v>
      </c>
      <c r="H1022" s="8" t="s">
        <v>18</v>
      </c>
      <c r="I1022" s="8" t="s">
        <v>29</v>
      </c>
      <c r="J1022" s="8" t="s">
        <v>30</v>
      </c>
      <c r="K1022" s="9">
        <v>5</v>
      </c>
      <c r="L1022" s="9">
        <v>1575</v>
      </c>
      <c r="M1022" s="9">
        <f t="shared" si="15"/>
        <v>7875</v>
      </c>
    </row>
    <row r="1023" spans="6:13" x14ac:dyDescent="0.3">
      <c r="F1023" s="7">
        <v>44435</v>
      </c>
      <c r="G1023" s="8" t="s">
        <v>19</v>
      </c>
      <c r="H1023" s="8" t="s">
        <v>18</v>
      </c>
      <c r="I1023" s="8" t="s">
        <v>29</v>
      </c>
      <c r="J1023" s="8" t="s">
        <v>30</v>
      </c>
      <c r="K1023" s="9">
        <v>10</v>
      </c>
      <c r="L1023" s="9">
        <v>790</v>
      </c>
      <c r="M1023" s="9">
        <f t="shared" si="15"/>
        <v>7900</v>
      </c>
    </row>
    <row r="1024" spans="6:13" x14ac:dyDescent="0.3">
      <c r="F1024" s="7">
        <v>44442</v>
      </c>
      <c r="G1024" s="8" t="s">
        <v>8</v>
      </c>
      <c r="H1024" s="8" t="s">
        <v>9</v>
      </c>
      <c r="I1024" s="8" t="s">
        <v>14</v>
      </c>
      <c r="J1024" s="8" t="s">
        <v>11</v>
      </c>
      <c r="K1024" s="9">
        <v>5</v>
      </c>
      <c r="L1024" s="9">
        <v>2001</v>
      </c>
      <c r="M1024" s="9">
        <f t="shared" si="15"/>
        <v>10005</v>
      </c>
    </row>
    <row r="1025" spans="6:13" x14ac:dyDescent="0.3">
      <c r="F1025" s="7">
        <v>44442</v>
      </c>
      <c r="G1025" s="8" t="s">
        <v>12</v>
      </c>
      <c r="H1025" s="8" t="s">
        <v>13</v>
      </c>
      <c r="I1025" s="8" t="s">
        <v>14</v>
      </c>
      <c r="J1025" s="8" t="s">
        <v>11</v>
      </c>
      <c r="K1025" s="9">
        <v>33</v>
      </c>
      <c r="L1025" s="9">
        <v>75</v>
      </c>
      <c r="M1025" s="9">
        <f t="shared" si="15"/>
        <v>2475</v>
      </c>
    </row>
    <row r="1026" spans="6:13" x14ac:dyDescent="0.3">
      <c r="F1026" s="7">
        <v>44442</v>
      </c>
      <c r="G1026" s="8" t="s">
        <v>15</v>
      </c>
      <c r="H1026" s="8" t="s">
        <v>13</v>
      </c>
      <c r="I1026" s="8" t="s">
        <v>14</v>
      </c>
      <c r="J1026" s="8" t="s">
        <v>11</v>
      </c>
      <c r="K1026" s="9">
        <v>12</v>
      </c>
      <c r="L1026" s="9">
        <v>315</v>
      </c>
      <c r="M1026" s="9">
        <f t="shared" si="15"/>
        <v>3780</v>
      </c>
    </row>
    <row r="1027" spans="6:13" x14ac:dyDescent="0.3">
      <c r="F1027" s="7">
        <v>44442</v>
      </c>
      <c r="G1027" s="8" t="s">
        <v>16</v>
      </c>
      <c r="H1027" s="8" t="s">
        <v>9</v>
      </c>
      <c r="I1027" s="8" t="s">
        <v>14</v>
      </c>
      <c r="J1027" s="8" t="s">
        <v>11</v>
      </c>
      <c r="K1027" s="9">
        <v>5</v>
      </c>
      <c r="L1027" s="9">
        <v>1080</v>
      </c>
      <c r="M1027" s="9">
        <f t="shared" si="15"/>
        <v>5400</v>
      </c>
    </row>
    <row r="1028" spans="6:13" x14ac:dyDescent="0.3">
      <c r="F1028" s="7">
        <v>44442</v>
      </c>
      <c r="G1028" s="8" t="s">
        <v>17</v>
      </c>
      <c r="H1028" s="8" t="s">
        <v>18</v>
      </c>
      <c r="I1028" s="8" t="s">
        <v>10</v>
      </c>
      <c r="J1028" s="8" t="s">
        <v>11</v>
      </c>
      <c r="K1028" s="9">
        <v>4</v>
      </c>
      <c r="L1028" s="9">
        <v>1575</v>
      </c>
      <c r="M1028" s="9">
        <f t="shared" ref="M1028:M1091" si="16">K1028*L1028</f>
        <v>6300</v>
      </c>
    </row>
    <row r="1029" spans="6:13" x14ac:dyDescent="0.3">
      <c r="F1029" s="7">
        <v>44442</v>
      </c>
      <c r="G1029" s="8" t="s">
        <v>19</v>
      </c>
      <c r="H1029" s="8" t="s">
        <v>18</v>
      </c>
      <c r="I1029" s="8" t="s">
        <v>10</v>
      </c>
      <c r="J1029" s="8" t="s">
        <v>11</v>
      </c>
      <c r="K1029" s="9">
        <v>9</v>
      </c>
      <c r="L1029" s="9">
        <v>790</v>
      </c>
      <c r="M1029" s="9">
        <f t="shared" si="16"/>
        <v>7110</v>
      </c>
    </row>
    <row r="1030" spans="6:13" x14ac:dyDescent="0.3">
      <c r="F1030" s="7">
        <v>44442</v>
      </c>
      <c r="G1030" s="8" t="s">
        <v>8</v>
      </c>
      <c r="H1030" s="8" t="s">
        <v>9</v>
      </c>
      <c r="I1030" s="8" t="s">
        <v>20</v>
      </c>
      <c r="J1030" s="8" t="s">
        <v>21</v>
      </c>
      <c r="K1030" s="9">
        <v>5</v>
      </c>
      <c r="L1030" s="9">
        <v>2001</v>
      </c>
      <c r="M1030" s="9">
        <f t="shared" si="16"/>
        <v>10005</v>
      </c>
    </row>
    <row r="1031" spans="6:13" x14ac:dyDescent="0.3">
      <c r="F1031" s="7">
        <v>44442</v>
      </c>
      <c r="G1031" s="8" t="s">
        <v>12</v>
      </c>
      <c r="H1031" s="8" t="s">
        <v>13</v>
      </c>
      <c r="I1031" s="8" t="s">
        <v>22</v>
      </c>
      <c r="J1031" s="8" t="s">
        <v>21</v>
      </c>
      <c r="K1031" s="9">
        <v>46</v>
      </c>
      <c r="L1031" s="9">
        <v>75</v>
      </c>
      <c r="M1031" s="9">
        <f t="shared" si="16"/>
        <v>3450</v>
      </c>
    </row>
    <row r="1032" spans="6:13" x14ac:dyDescent="0.3">
      <c r="F1032" s="7">
        <v>44442</v>
      </c>
      <c r="G1032" s="8" t="s">
        <v>15</v>
      </c>
      <c r="H1032" s="8" t="s">
        <v>13</v>
      </c>
      <c r="I1032" s="8" t="s">
        <v>22</v>
      </c>
      <c r="J1032" s="8" t="s">
        <v>21</v>
      </c>
      <c r="K1032" s="9">
        <v>9</v>
      </c>
      <c r="L1032" s="9">
        <v>315</v>
      </c>
      <c r="M1032" s="9">
        <f t="shared" si="16"/>
        <v>2835</v>
      </c>
    </row>
    <row r="1033" spans="6:13" x14ac:dyDescent="0.3">
      <c r="F1033" s="7">
        <v>44442</v>
      </c>
      <c r="G1033" s="8" t="s">
        <v>16</v>
      </c>
      <c r="H1033" s="8" t="s">
        <v>9</v>
      </c>
      <c r="I1033" s="8" t="s">
        <v>20</v>
      </c>
      <c r="J1033" s="8" t="s">
        <v>21</v>
      </c>
      <c r="K1033" s="9">
        <v>2</v>
      </c>
      <c r="L1033" s="9">
        <v>1080</v>
      </c>
      <c r="M1033" s="9">
        <f t="shared" si="16"/>
        <v>2160</v>
      </c>
    </row>
    <row r="1034" spans="6:13" x14ac:dyDescent="0.3">
      <c r="F1034" s="7">
        <v>44442</v>
      </c>
      <c r="G1034" s="8" t="s">
        <v>17</v>
      </c>
      <c r="H1034" s="8" t="s">
        <v>18</v>
      </c>
      <c r="I1034" s="8" t="s">
        <v>20</v>
      </c>
      <c r="J1034" s="8" t="s">
        <v>21</v>
      </c>
      <c r="K1034" s="9">
        <v>2</v>
      </c>
      <c r="L1034" s="9">
        <v>1575</v>
      </c>
      <c r="M1034" s="9">
        <f t="shared" si="16"/>
        <v>3150</v>
      </c>
    </row>
    <row r="1035" spans="6:13" x14ac:dyDescent="0.3">
      <c r="F1035" s="7">
        <v>44442</v>
      </c>
      <c r="G1035" s="8" t="s">
        <v>19</v>
      </c>
      <c r="H1035" s="8" t="s">
        <v>18</v>
      </c>
      <c r="I1035" s="8" t="s">
        <v>20</v>
      </c>
      <c r="J1035" s="8" t="s">
        <v>21</v>
      </c>
      <c r="K1035" s="9">
        <v>5</v>
      </c>
      <c r="L1035" s="9">
        <v>790</v>
      </c>
      <c r="M1035" s="9">
        <f t="shared" si="16"/>
        <v>3950</v>
      </c>
    </row>
    <row r="1036" spans="6:13" x14ac:dyDescent="0.3">
      <c r="F1036" s="7">
        <v>44442</v>
      </c>
      <c r="G1036" s="8" t="s">
        <v>8</v>
      </c>
      <c r="H1036" s="8" t="s">
        <v>9</v>
      </c>
      <c r="I1036" s="8" t="s">
        <v>23</v>
      </c>
      <c r="J1036" s="8" t="s">
        <v>24</v>
      </c>
      <c r="K1036" s="9">
        <v>5</v>
      </c>
      <c r="L1036" s="9">
        <v>2001</v>
      </c>
      <c r="M1036" s="9">
        <f t="shared" si="16"/>
        <v>10005</v>
      </c>
    </row>
    <row r="1037" spans="6:13" x14ac:dyDescent="0.3">
      <c r="F1037" s="7">
        <v>44442</v>
      </c>
      <c r="G1037" s="8" t="s">
        <v>12</v>
      </c>
      <c r="H1037" s="8" t="s">
        <v>13</v>
      </c>
      <c r="I1037" s="8" t="s">
        <v>25</v>
      </c>
      <c r="J1037" s="8" t="s">
        <v>24</v>
      </c>
      <c r="K1037" s="9">
        <v>26</v>
      </c>
      <c r="L1037" s="9">
        <v>75</v>
      </c>
      <c r="M1037" s="9">
        <f t="shared" si="16"/>
        <v>1950</v>
      </c>
    </row>
    <row r="1038" spans="6:13" x14ac:dyDescent="0.3">
      <c r="F1038" s="7">
        <v>44442</v>
      </c>
      <c r="G1038" s="8" t="s">
        <v>15</v>
      </c>
      <c r="H1038" s="8" t="s">
        <v>13</v>
      </c>
      <c r="I1038" s="8" t="s">
        <v>25</v>
      </c>
      <c r="J1038" s="8" t="s">
        <v>24</v>
      </c>
      <c r="K1038" s="9">
        <v>8</v>
      </c>
      <c r="L1038" s="9">
        <v>315</v>
      </c>
      <c r="M1038" s="9">
        <f t="shared" si="16"/>
        <v>2520</v>
      </c>
    </row>
    <row r="1039" spans="6:13" x14ac:dyDescent="0.3">
      <c r="F1039" s="7">
        <v>44442</v>
      </c>
      <c r="G1039" s="8" t="s">
        <v>16</v>
      </c>
      <c r="H1039" s="8" t="s">
        <v>9</v>
      </c>
      <c r="I1039" s="8" t="s">
        <v>23</v>
      </c>
      <c r="J1039" s="8" t="s">
        <v>24</v>
      </c>
      <c r="K1039" s="9">
        <v>3</v>
      </c>
      <c r="L1039" s="9">
        <v>1080</v>
      </c>
      <c r="M1039" s="9">
        <f t="shared" si="16"/>
        <v>3240</v>
      </c>
    </row>
    <row r="1040" spans="6:13" x14ac:dyDescent="0.3">
      <c r="F1040" s="7">
        <v>44442</v>
      </c>
      <c r="G1040" s="8" t="s">
        <v>17</v>
      </c>
      <c r="H1040" s="8" t="s">
        <v>18</v>
      </c>
      <c r="I1040" s="8" t="s">
        <v>25</v>
      </c>
      <c r="J1040" s="8" t="s">
        <v>24</v>
      </c>
      <c r="K1040" s="9">
        <v>1</v>
      </c>
      <c r="L1040" s="9">
        <v>1575</v>
      </c>
      <c r="M1040" s="9">
        <f t="shared" si="16"/>
        <v>1575</v>
      </c>
    </row>
    <row r="1041" spans="6:13" x14ac:dyDescent="0.3">
      <c r="F1041" s="7">
        <v>44442</v>
      </c>
      <c r="G1041" s="8" t="s">
        <v>19</v>
      </c>
      <c r="H1041" s="8" t="s">
        <v>18</v>
      </c>
      <c r="I1041" s="8" t="s">
        <v>25</v>
      </c>
      <c r="J1041" s="8" t="s">
        <v>24</v>
      </c>
      <c r="K1041" s="9">
        <v>1</v>
      </c>
      <c r="L1041" s="9">
        <v>790</v>
      </c>
      <c r="M1041" s="9">
        <f t="shared" si="16"/>
        <v>790</v>
      </c>
    </row>
    <row r="1042" spans="6:13" x14ac:dyDescent="0.3">
      <c r="F1042" s="7">
        <v>44442</v>
      </c>
      <c r="G1042" s="8" t="s">
        <v>8</v>
      </c>
      <c r="H1042" s="8" t="s">
        <v>9</v>
      </c>
      <c r="I1042" s="8" t="s">
        <v>26</v>
      </c>
      <c r="J1042" s="8" t="s">
        <v>27</v>
      </c>
      <c r="K1042" s="9">
        <v>5</v>
      </c>
      <c r="L1042" s="9">
        <v>2001</v>
      </c>
      <c r="M1042" s="9">
        <f t="shared" si="16"/>
        <v>10005</v>
      </c>
    </row>
    <row r="1043" spans="6:13" x14ac:dyDescent="0.3">
      <c r="F1043" s="7">
        <v>44442</v>
      </c>
      <c r="G1043" s="8" t="s">
        <v>12</v>
      </c>
      <c r="H1043" s="8" t="s">
        <v>13</v>
      </c>
      <c r="I1043" s="8" t="s">
        <v>28</v>
      </c>
      <c r="J1043" s="8" t="s">
        <v>27</v>
      </c>
      <c r="K1043" s="9">
        <v>58</v>
      </c>
      <c r="L1043" s="9">
        <v>75</v>
      </c>
      <c r="M1043" s="9">
        <f t="shared" si="16"/>
        <v>4350</v>
      </c>
    </row>
    <row r="1044" spans="6:13" x14ac:dyDescent="0.3">
      <c r="F1044" s="7">
        <v>44442</v>
      </c>
      <c r="G1044" s="8" t="s">
        <v>15</v>
      </c>
      <c r="H1044" s="8" t="s">
        <v>13</v>
      </c>
      <c r="I1044" s="8" t="s">
        <v>28</v>
      </c>
      <c r="J1044" s="8" t="s">
        <v>27</v>
      </c>
      <c r="K1044" s="9">
        <v>13</v>
      </c>
      <c r="L1044" s="9">
        <v>315</v>
      </c>
      <c r="M1044" s="9">
        <f t="shared" si="16"/>
        <v>4095</v>
      </c>
    </row>
    <row r="1045" spans="6:13" x14ac:dyDescent="0.3">
      <c r="F1045" s="7">
        <v>44442</v>
      </c>
      <c r="G1045" s="8" t="s">
        <v>16</v>
      </c>
      <c r="H1045" s="8" t="s">
        <v>9</v>
      </c>
      <c r="I1045" s="8" t="s">
        <v>26</v>
      </c>
      <c r="J1045" s="8" t="s">
        <v>27</v>
      </c>
      <c r="K1045" s="9">
        <v>5</v>
      </c>
      <c r="L1045" s="9">
        <v>1080</v>
      </c>
      <c r="M1045" s="9">
        <f t="shared" si="16"/>
        <v>5400</v>
      </c>
    </row>
    <row r="1046" spans="6:13" x14ac:dyDescent="0.3">
      <c r="F1046" s="7">
        <v>44442</v>
      </c>
      <c r="G1046" s="8" t="s">
        <v>17</v>
      </c>
      <c r="H1046" s="8" t="s">
        <v>18</v>
      </c>
      <c r="I1046" s="8" t="s">
        <v>28</v>
      </c>
      <c r="J1046" s="8" t="s">
        <v>27</v>
      </c>
      <c r="K1046" s="9">
        <v>5</v>
      </c>
      <c r="L1046" s="9">
        <v>1575</v>
      </c>
      <c r="M1046" s="9">
        <f t="shared" si="16"/>
        <v>7875</v>
      </c>
    </row>
    <row r="1047" spans="6:13" x14ac:dyDescent="0.3">
      <c r="F1047" s="7">
        <v>44442</v>
      </c>
      <c r="G1047" s="8" t="s">
        <v>19</v>
      </c>
      <c r="H1047" s="8" t="s">
        <v>18</v>
      </c>
      <c r="I1047" s="8" t="s">
        <v>28</v>
      </c>
      <c r="J1047" s="8" t="s">
        <v>27</v>
      </c>
      <c r="K1047" s="9">
        <v>11</v>
      </c>
      <c r="L1047" s="9">
        <v>790</v>
      </c>
      <c r="M1047" s="9">
        <f t="shared" si="16"/>
        <v>8690</v>
      </c>
    </row>
    <row r="1048" spans="6:13" x14ac:dyDescent="0.3">
      <c r="F1048" s="7">
        <v>44442</v>
      </c>
      <c r="G1048" s="8" t="s">
        <v>8</v>
      </c>
      <c r="H1048" s="8" t="s">
        <v>9</v>
      </c>
      <c r="I1048" s="8" t="s">
        <v>29</v>
      </c>
      <c r="J1048" s="8" t="s">
        <v>30</v>
      </c>
      <c r="K1048" s="9">
        <v>5</v>
      </c>
      <c r="L1048" s="9">
        <v>2001</v>
      </c>
      <c r="M1048" s="9">
        <f t="shared" si="16"/>
        <v>10005</v>
      </c>
    </row>
    <row r="1049" spans="6:13" x14ac:dyDescent="0.3">
      <c r="F1049" s="7">
        <v>44442</v>
      </c>
      <c r="G1049" s="8" t="s">
        <v>12</v>
      </c>
      <c r="H1049" s="8" t="s">
        <v>13</v>
      </c>
      <c r="I1049" s="8" t="s">
        <v>31</v>
      </c>
      <c r="J1049" s="8" t="s">
        <v>30</v>
      </c>
      <c r="K1049" s="9">
        <v>32</v>
      </c>
      <c r="L1049" s="9">
        <v>75</v>
      </c>
      <c r="M1049" s="9">
        <f t="shared" si="16"/>
        <v>2400</v>
      </c>
    </row>
    <row r="1050" spans="6:13" x14ac:dyDescent="0.3">
      <c r="F1050" s="7">
        <v>44442</v>
      </c>
      <c r="G1050" s="8" t="s">
        <v>15</v>
      </c>
      <c r="H1050" s="8" t="s">
        <v>13</v>
      </c>
      <c r="I1050" s="8" t="s">
        <v>31</v>
      </c>
      <c r="J1050" s="8" t="s">
        <v>30</v>
      </c>
      <c r="K1050" s="9">
        <v>9</v>
      </c>
      <c r="L1050" s="9">
        <v>315</v>
      </c>
      <c r="M1050" s="9">
        <f t="shared" si="16"/>
        <v>2835</v>
      </c>
    </row>
    <row r="1051" spans="6:13" x14ac:dyDescent="0.3">
      <c r="F1051" s="7">
        <v>44442</v>
      </c>
      <c r="G1051" s="8" t="s">
        <v>16</v>
      </c>
      <c r="H1051" s="8" t="s">
        <v>9</v>
      </c>
      <c r="I1051" s="8" t="s">
        <v>29</v>
      </c>
      <c r="J1051" s="8" t="s">
        <v>30</v>
      </c>
      <c r="K1051" s="9">
        <v>3</v>
      </c>
      <c r="L1051" s="9">
        <v>1080</v>
      </c>
      <c r="M1051" s="9">
        <f t="shared" si="16"/>
        <v>3240</v>
      </c>
    </row>
    <row r="1052" spans="6:13" x14ac:dyDescent="0.3">
      <c r="F1052" s="7">
        <v>44442</v>
      </c>
      <c r="G1052" s="8" t="s">
        <v>17</v>
      </c>
      <c r="H1052" s="8" t="s">
        <v>18</v>
      </c>
      <c r="I1052" s="8" t="s">
        <v>29</v>
      </c>
      <c r="J1052" s="8" t="s">
        <v>30</v>
      </c>
      <c r="K1052" s="9">
        <v>2</v>
      </c>
      <c r="L1052" s="9">
        <v>1575</v>
      </c>
      <c r="M1052" s="9">
        <f t="shared" si="16"/>
        <v>3150</v>
      </c>
    </row>
    <row r="1053" spans="6:13" x14ac:dyDescent="0.3">
      <c r="F1053" s="7">
        <v>44442</v>
      </c>
      <c r="G1053" s="8" t="s">
        <v>19</v>
      </c>
      <c r="H1053" s="8" t="s">
        <v>18</v>
      </c>
      <c r="I1053" s="8" t="s">
        <v>29</v>
      </c>
      <c r="J1053" s="8" t="s">
        <v>30</v>
      </c>
      <c r="K1053" s="9">
        <v>11</v>
      </c>
      <c r="L1053" s="9">
        <v>790</v>
      </c>
      <c r="M1053" s="9">
        <f t="shared" si="16"/>
        <v>8690</v>
      </c>
    </row>
    <row r="1054" spans="6:13" x14ac:dyDescent="0.3">
      <c r="F1054" s="7">
        <v>44449</v>
      </c>
      <c r="G1054" s="8" t="s">
        <v>8</v>
      </c>
      <c r="H1054" s="8" t="s">
        <v>9</v>
      </c>
      <c r="I1054" s="8" t="s">
        <v>14</v>
      </c>
      <c r="J1054" s="8" t="s">
        <v>11</v>
      </c>
      <c r="K1054" s="9">
        <v>4</v>
      </c>
      <c r="L1054" s="9">
        <v>2001</v>
      </c>
      <c r="M1054" s="9">
        <f t="shared" si="16"/>
        <v>8004</v>
      </c>
    </row>
    <row r="1055" spans="6:13" x14ac:dyDescent="0.3">
      <c r="F1055" s="7">
        <v>44449</v>
      </c>
      <c r="G1055" s="8" t="s">
        <v>12</v>
      </c>
      <c r="H1055" s="8" t="s">
        <v>13</v>
      </c>
      <c r="I1055" s="8" t="s">
        <v>14</v>
      </c>
      <c r="J1055" s="8" t="s">
        <v>11</v>
      </c>
      <c r="K1055" s="9">
        <v>32</v>
      </c>
      <c r="L1055" s="9">
        <v>75</v>
      </c>
      <c r="M1055" s="9">
        <f t="shared" si="16"/>
        <v>2400</v>
      </c>
    </row>
    <row r="1056" spans="6:13" x14ac:dyDescent="0.3">
      <c r="F1056" s="7">
        <v>44449</v>
      </c>
      <c r="G1056" s="8" t="s">
        <v>15</v>
      </c>
      <c r="H1056" s="8" t="s">
        <v>13</v>
      </c>
      <c r="I1056" s="8" t="s">
        <v>14</v>
      </c>
      <c r="J1056" s="8" t="s">
        <v>11</v>
      </c>
      <c r="K1056" s="9">
        <v>12</v>
      </c>
      <c r="L1056" s="9">
        <v>315</v>
      </c>
      <c r="M1056" s="9">
        <f t="shared" si="16"/>
        <v>3780</v>
      </c>
    </row>
    <row r="1057" spans="6:13" x14ac:dyDescent="0.3">
      <c r="F1057" s="7">
        <v>44449</v>
      </c>
      <c r="G1057" s="8" t="s">
        <v>16</v>
      </c>
      <c r="H1057" s="8" t="s">
        <v>9</v>
      </c>
      <c r="I1057" s="8" t="s">
        <v>14</v>
      </c>
      <c r="J1057" s="8" t="s">
        <v>11</v>
      </c>
      <c r="K1057" s="9">
        <v>2</v>
      </c>
      <c r="L1057" s="9">
        <v>1080</v>
      </c>
      <c r="M1057" s="9">
        <f t="shared" si="16"/>
        <v>2160</v>
      </c>
    </row>
    <row r="1058" spans="6:13" x14ac:dyDescent="0.3">
      <c r="F1058" s="7">
        <v>44449</v>
      </c>
      <c r="G1058" s="8" t="s">
        <v>17</v>
      </c>
      <c r="H1058" s="8" t="s">
        <v>18</v>
      </c>
      <c r="I1058" s="8" t="s">
        <v>10</v>
      </c>
      <c r="J1058" s="8" t="s">
        <v>11</v>
      </c>
      <c r="K1058" s="9">
        <v>6</v>
      </c>
      <c r="L1058" s="9">
        <v>1575</v>
      </c>
      <c r="M1058" s="9">
        <f t="shared" si="16"/>
        <v>9450</v>
      </c>
    </row>
    <row r="1059" spans="6:13" x14ac:dyDescent="0.3">
      <c r="F1059" s="7">
        <v>44449</v>
      </c>
      <c r="G1059" s="8" t="s">
        <v>19</v>
      </c>
      <c r="H1059" s="8" t="s">
        <v>18</v>
      </c>
      <c r="I1059" s="8" t="s">
        <v>10</v>
      </c>
      <c r="J1059" s="8" t="s">
        <v>11</v>
      </c>
      <c r="K1059" s="9">
        <v>9</v>
      </c>
      <c r="L1059" s="9">
        <v>790</v>
      </c>
      <c r="M1059" s="9">
        <f t="shared" si="16"/>
        <v>7110</v>
      </c>
    </row>
    <row r="1060" spans="6:13" x14ac:dyDescent="0.3">
      <c r="F1060" s="7">
        <v>44449</v>
      </c>
      <c r="G1060" s="8" t="s">
        <v>8</v>
      </c>
      <c r="H1060" s="8" t="s">
        <v>9</v>
      </c>
      <c r="I1060" s="8" t="s">
        <v>20</v>
      </c>
      <c r="J1060" s="8" t="s">
        <v>21</v>
      </c>
      <c r="K1060" s="9">
        <v>6</v>
      </c>
      <c r="L1060" s="9">
        <v>2001</v>
      </c>
      <c r="M1060" s="9">
        <f t="shared" si="16"/>
        <v>12006</v>
      </c>
    </row>
    <row r="1061" spans="6:13" x14ac:dyDescent="0.3">
      <c r="F1061" s="7">
        <v>44449</v>
      </c>
      <c r="G1061" s="8" t="s">
        <v>12</v>
      </c>
      <c r="H1061" s="8" t="s">
        <v>13</v>
      </c>
      <c r="I1061" s="8" t="s">
        <v>22</v>
      </c>
      <c r="J1061" s="8" t="s">
        <v>21</v>
      </c>
      <c r="K1061" s="9">
        <v>59</v>
      </c>
      <c r="L1061" s="9">
        <v>75</v>
      </c>
      <c r="M1061" s="9">
        <f t="shared" si="16"/>
        <v>4425</v>
      </c>
    </row>
    <row r="1062" spans="6:13" x14ac:dyDescent="0.3">
      <c r="F1062" s="7">
        <v>44449</v>
      </c>
      <c r="G1062" s="8" t="s">
        <v>15</v>
      </c>
      <c r="H1062" s="8" t="s">
        <v>13</v>
      </c>
      <c r="I1062" s="8" t="s">
        <v>22</v>
      </c>
      <c r="J1062" s="8" t="s">
        <v>21</v>
      </c>
      <c r="K1062" s="9">
        <v>5</v>
      </c>
      <c r="L1062" s="9">
        <v>315</v>
      </c>
      <c r="M1062" s="9">
        <f t="shared" si="16"/>
        <v>1575</v>
      </c>
    </row>
    <row r="1063" spans="6:13" x14ac:dyDescent="0.3">
      <c r="F1063" s="7">
        <v>44449</v>
      </c>
      <c r="G1063" s="8" t="s">
        <v>16</v>
      </c>
      <c r="H1063" s="8" t="s">
        <v>9</v>
      </c>
      <c r="I1063" s="8" t="s">
        <v>20</v>
      </c>
      <c r="J1063" s="8" t="s">
        <v>21</v>
      </c>
      <c r="K1063" s="9">
        <v>3</v>
      </c>
      <c r="L1063" s="9">
        <v>1080</v>
      </c>
      <c r="M1063" s="9">
        <f t="shared" si="16"/>
        <v>3240</v>
      </c>
    </row>
    <row r="1064" spans="6:13" x14ac:dyDescent="0.3">
      <c r="F1064" s="7">
        <v>44449</v>
      </c>
      <c r="G1064" s="8" t="s">
        <v>17</v>
      </c>
      <c r="H1064" s="8" t="s">
        <v>18</v>
      </c>
      <c r="I1064" s="8" t="s">
        <v>22</v>
      </c>
      <c r="J1064" s="8" t="s">
        <v>21</v>
      </c>
      <c r="K1064" s="9">
        <v>3</v>
      </c>
      <c r="L1064" s="9">
        <v>1575</v>
      </c>
      <c r="M1064" s="9">
        <f t="shared" si="16"/>
        <v>4725</v>
      </c>
    </row>
    <row r="1065" spans="6:13" x14ac:dyDescent="0.3">
      <c r="F1065" s="7">
        <v>44449</v>
      </c>
      <c r="G1065" s="8" t="s">
        <v>19</v>
      </c>
      <c r="H1065" s="8" t="s">
        <v>18</v>
      </c>
      <c r="I1065" s="8" t="s">
        <v>22</v>
      </c>
      <c r="J1065" s="8" t="s">
        <v>21</v>
      </c>
      <c r="K1065" s="9">
        <v>8</v>
      </c>
      <c r="L1065" s="9">
        <v>790</v>
      </c>
      <c r="M1065" s="9">
        <f t="shared" si="16"/>
        <v>6320</v>
      </c>
    </row>
    <row r="1066" spans="6:13" x14ac:dyDescent="0.3">
      <c r="F1066" s="7">
        <v>44449</v>
      </c>
      <c r="G1066" s="8" t="s">
        <v>8</v>
      </c>
      <c r="H1066" s="8" t="s">
        <v>9</v>
      </c>
      <c r="I1066" s="8" t="s">
        <v>23</v>
      </c>
      <c r="J1066" s="8" t="s">
        <v>24</v>
      </c>
      <c r="K1066" s="9">
        <v>6</v>
      </c>
      <c r="L1066" s="9">
        <v>2001</v>
      </c>
      <c r="M1066" s="9">
        <f t="shared" si="16"/>
        <v>12006</v>
      </c>
    </row>
    <row r="1067" spans="6:13" x14ac:dyDescent="0.3">
      <c r="F1067" s="7">
        <v>44449</v>
      </c>
      <c r="G1067" s="8" t="s">
        <v>12</v>
      </c>
      <c r="H1067" s="8" t="s">
        <v>13</v>
      </c>
      <c r="I1067" s="8" t="s">
        <v>25</v>
      </c>
      <c r="J1067" s="8" t="s">
        <v>24</v>
      </c>
      <c r="K1067" s="9">
        <v>45</v>
      </c>
      <c r="L1067" s="9">
        <v>75</v>
      </c>
      <c r="M1067" s="9">
        <f t="shared" si="16"/>
        <v>3375</v>
      </c>
    </row>
    <row r="1068" spans="6:13" x14ac:dyDescent="0.3">
      <c r="F1068" s="7">
        <v>44449</v>
      </c>
      <c r="G1068" s="8" t="s">
        <v>15</v>
      </c>
      <c r="H1068" s="8" t="s">
        <v>13</v>
      </c>
      <c r="I1068" s="8" t="s">
        <v>25</v>
      </c>
      <c r="J1068" s="8" t="s">
        <v>24</v>
      </c>
      <c r="K1068" s="9">
        <v>6</v>
      </c>
      <c r="L1068" s="9">
        <v>315</v>
      </c>
      <c r="M1068" s="9">
        <f t="shared" si="16"/>
        <v>1890</v>
      </c>
    </row>
    <row r="1069" spans="6:13" x14ac:dyDescent="0.3">
      <c r="F1069" s="7">
        <v>44449</v>
      </c>
      <c r="G1069" s="8" t="s">
        <v>16</v>
      </c>
      <c r="H1069" s="8" t="s">
        <v>9</v>
      </c>
      <c r="I1069" s="8" t="s">
        <v>23</v>
      </c>
      <c r="J1069" s="8" t="s">
        <v>24</v>
      </c>
      <c r="K1069" s="9">
        <v>4</v>
      </c>
      <c r="L1069" s="9">
        <v>1080</v>
      </c>
      <c r="M1069" s="9">
        <f t="shared" si="16"/>
        <v>4320</v>
      </c>
    </row>
    <row r="1070" spans="6:13" x14ac:dyDescent="0.3">
      <c r="F1070" s="7">
        <v>44449</v>
      </c>
      <c r="G1070" s="8" t="s">
        <v>17</v>
      </c>
      <c r="H1070" s="8" t="s">
        <v>18</v>
      </c>
      <c r="I1070" s="8" t="s">
        <v>25</v>
      </c>
      <c r="J1070" s="8" t="s">
        <v>24</v>
      </c>
      <c r="K1070" s="9">
        <v>3</v>
      </c>
      <c r="L1070" s="9">
        <v>1575</v>
      </c>
      <c r="M1070" s="9">
        <f t="shared" si="16"/>
        <v>4725</v>
      </c>
    </row>
    <row r="1071" spans="6:13" x14ac:dyDescent="0.3">
      <c r="F1071" s="7">
        <v>44449</v>
      </c>
      <c r="G1071" s="8" t="s">
        <v>19</v>
      </c>
      <c r="H1071" s="8" t="s">
        <v>18</v>
      </c>
      <c r="I1071" s="8" t="s">
        <v>25</v>
      </c>
      <c r="J1071" s="8" t="s">
        <v>24</v>
      </c>
      <c r="K1071" s="9">
        <v>5</v>
      </c>
      <c r="L1071" s="9">
        <v>790</v>
      </c>
      <c r="M1071" s="9">
        <f t="shared" si="16"/>
        <v>3950</v>
      </c>
    </row>
    <row r="1072" spans="6:13" x14ac:dyDescent="0.3">
      <c r="F1072" s="7">
        <v>44449</v>
      </c>
      <c r="G1072" s="8" t="s">
        <v>8</v>
      </c>
      <c r="H1072" s="8" t="s">
        <v>9</v>
      </c>
      <c r="I1072" s="8" t="s">
        <v>26</v>
      </c>
      <c r="J1072" s="8" t="s">
        <v>27</v>
      </c>
      <c r="K1072" s="9">
        <v>5</v>
      </c>
      <c r="L1072" s="9">
        <v>2001</v>
      </c>
      <c r="M1072" s="9">
        <f t="shared" si="16"/>
        <v>10005</v>
      </c>
    </row>
    <row r="1073" spans="6:13" x14ac:dyDescent="0.3">
      <c r="F1073" s="7">
        <v>44449</v>
      </c>
      <c r="G1073" s="8" t="s">
        <v>12</v>
      </c>
      <c r="H1073" s="8" t="s">
        <v>13</v>
      </c>
      <c r="I1073" s="8" t="s">
        <v>28</v>
      </c>
      <c r="J1073" s="8" t="s">
        <v>27</v>
      </c>
      <c r="K1073" s="9">
        <v>31</v>
      </c>
      <c r="L1073" s="9">
        <v>75</v>
      </c>
      <c r="M1073" s="9">
        <f t="shared" si="16"/>
        <v>2325</v>
      </c>
    </row>
    <row r="1074" spans="6:13" x14ac:dyDescent="0.3">
      <c r="F1074" s="7">
        <v>44449</v>
      </c>
      <c r="G1074" s="8" t="s">
        <v>15</v>
      </c>
      <c r="H1074" s="8" t="s">
        <v>13</v>
      </c>
      <c r="I1074" s="8" t="s">
        <v>28</v>
      </c>
      <c r="J1074" s="8" t="s">
        <v>27</v>
      </c>
      <c r="K1074" s="9">
        <v>6</v>
      </c>
      <c r="L1074" s="9">
        <v>315</v>
      </c>
      <c r="M1074" s="9">
        <f t="shared" si="16"/>
        <v>1890</v>
      </c>
    </row>
    <row r="1075" spans="6:13" x14ac:dyDescent="0.3">
      <c r="F1075" s="7">
        <v>44449</v>
      </c>
      <c r="G1075" s="8" t="s">
        <v>16</v>
      </c>
      <c r="H1075" s="8" t="s">
        <v>9</v>
      </c>
      <c r="I1075" s="8" t="s">
        <v>26</v>
      </c>
      <c r="J1075" s="8" t="s">
        <v>27</v>
      </c>
      <c r="K1075" s="9">
        <v>4</v>
      </c>
      <c r="L1075" s="9">
        <v>1080</v>
      </c>
      <c r="M1075" s="9">
        <f t="shared" si="16"/>
        <v>4320</v>
      </c>
    </row>
    <row r="1076" spans="6:13" x14ac:dyDescent="0.3">
      <c r="F1076" s="7">
        <v>44449</v>
      </c>
      <c r="G1076" s="8" t="s">
        <v>17</v>
      </c>
      <c r="H1076" s="8" t="s">
        <v>18</v>
      </c>
      <c r="I1076" s="8" t="s">
        <v>28</v>
      </c>
      <c r="J1076" s="8" t="s">
        <v>27</v>
      </c>
      <c r="K1076" s="9">
        <v>6</v>
      </c>
      <c r="L1076" s="9">
        <v>1575</v>
      </c>
      <c r="M1076" s="9">
        <f t="shared" si="16"/>
        <v>9450</v>
      </c>
    </row>
    <row r="1077" spans="6:13" x14ac:dyDescent="0.3">
      <c r="F1077" s="7">
        <v>44449</v>
      </c>
      <c r="G1077" s="8" t="s">
        <v>19</v>
      </c>
      <c r="H1077" s="8" t="s">
        <v>18</v>
      </c>
      <c r="I1077" s="8" t="s">
        <v>28</v>
      </c>
      <c r="J1077" s="8" t="s">
        <v>27</v>
      </c>
      <c r="K1077" s="9">
        <v>10</v>
      </c>
      <c r="L1077" s="9">
        <v>790</v>
      </c>
      <c r="M1077" s="9">
        <f t="shared" si="16"/>
        <v>7900</v>
      </c>
    </row>
    <row r="1078" spans="6:13" x14ac:dyDescent="0.3">
      <c r="F1078" s="7">
        <v>44449</v>
      </c>
      <c r="G1078" s="8" t="s">
        <v>8</v>
      </c>
      <c r="H1078" s="8" t="s">
        <v>9</v>
      </c>
      <c r="I1078" s="8" t="s">
        <v>29</v>
      </c>
      <c r="J1078" s="8" t="s">
        <v>30</v>
      </c>
      <c r="K1078" s="9">
        <v>5</v>
      </c>
      <c r="L1078" s="9">
        <v>2001</v>
      </c>
      <c r="M1078" s="9">
        <f t="shared" si="16"/>
        <v>10005</v>
      </c>
    </row>
    <row r="1079" spans="6:13" x14ac:dyDescent="0.3">
      <c r="F1079" s="7">
        <v>44449</v>
      </c>
      <c r="G1079" s="8" t="s">
        <v>12</v>
      </c>
      <c r="H1079" s="8" t="s">
        <v>13</v>
      </c>
      <c r="I1079" s="8" t="s">
        <v>31</v>
      </c>
      <c r="J1079" s="8" t="s">
        <v>30</v>
      </c>
      <c r="K1079" s="9">
        <v>39</v>
      </c>
      <c r="L1079" s="9">
        <v>75</v>
      </c>
      <c r="M1079" s="9">
        <f t="shared" si="16"/>
        <v>2925</v>
      </c>
    </row>
    <row r="1080" spans="6:13" x14ac:dyDescent="0.3">
      <c r="F1080" s="7">
        <v>44449</v>
      </c>
      <c r="G1080" s="8" t="s">
        <v>15</v>
      </c>
      <c r="H1080" s="8" t="s">
        <v>13</v>
      </c>
      <c r="I1080" s="8" t="s">
        <v>31</v>
      </c>
      <c r="J1080" s="8" t="s">
        <v>30</v>
      </c>
      <c r="K1080" s="9">
        <v>11</v>
      </c>
      <c r="L1080" s="9">
        <v>315</v>
      </c>
      <c r="M1080" s="9">
        <f t="shared" si="16"/>
        <v>3465</v>
      </c>
    </row>
    <row r="1081" spans="6:13" x14ac:dyDescent="0.3">
      <c r="F1081" s="7">
        <v>44449</v>
      </c>
      <c r="G1081" s="8" t="s">
        <v>16</v>
      </c>
      <c r="H1081" s="8" t="s">
        <v>9</v>
      </c>
      <c r="I1081" s="8" t="s">
        <v>29</v>
      </c>
      <c r="J1081" s="8" t="s">
        <v>30</v>
      </c>
      <c r="K1081" s="9">
        <v>3</v>
      </c>
      <c r="L1081" s="9">
        <v>1080</v>
      </c>
      <c r="M1081" s="9">
        <f t="shared" si="16"/>
        <v>3240</v>
      </c>
    </row>
    <row r="1082" spans="6:13" x14ac:dyDescent="0.3">
      <c r="F1082" s="7">
        <v>44449</v>
      </c>
      <c r="G1082" s="8" t="s">
        <v>17</v>
      </c>
      <c r="H1082" s="8" t="s">
        <v>18</v>
      </c>
      <c r="I1082" s="8" t="s">
        <v>29</v>
      </c>
      <c r="J1082" s="8" t="s">
        <v>30</v>
      </c>
      <c r="K1082" s="9">
        <v>4</v>
      </c>
      <c r="L1082" s="9">
        <v>1575</v>
      </c>
      <c r="M1082" s="9">
        <f t="shared" si="16"/>
        <v>6300</v>
      </c>
    </row>
    <row r="1083" spans="6:13" x14ac:dyDescent="0.3">
      <c r="F1083" s="7">
        <v>44449</v>
      </c>
      <c r="G1083" s="8" t="s">
        <v>19</v>
      </c>
      <c r="H1083" s="8" t="s">
        <v>18</v>
      </c>
      <c r="I1083" s="8" t="s">
        <v>29</v>
      </c>
      <c r="J1083" s="8" t="s">
        <v>30</v>
      </c>
      <c r="K1083" s="9">
        <v>9</v>
      </c>
      <c r="L1083" s="9">
        <v>790</v>
      </c>
      <c r="M1083" s="9">
        <f t="shared" si="16"/>
        <v>7110</v>
      </c>
    </row>
    <row r="1084" spans="6:13" x14ac:dyDescent="0.3">
      <c r="F1084" s="7">
        <v>44456</v>
      </c>
      <c r="G1084" s="8" t="s">
        <v>8</v>
      </c>
      <c r="H1084" s="8" t="s">
        <v>9</v>
      </c>
      <c r="I1084" s="8" t="s">
        <v>14</v>
      </c>
      <c r="J1084" s="8" t="s">
        <v>11</v>
      </c>
      <c r="K1084" s="9">
        <v>3</v>
      </c>
      <c r="L1084" s="9">
        <v>2001</v>
      </c>
      <c r="M1084" s="9">
        <f t="shared" si="16"/>
        <v>6003</v>
      </c>
    </row>
    <row r="1085" spans="6:13" x14ac:dyDescent="0.3">
      <c r="F1085" s="7">
        <v>44456</v>
      </c>
      <c r="G1085" s="8" t="s">
        <v>12</v>
      </c>
      <c r="H1085" s="8" t="s">
        <v>13</v>
      </c>
      <c r="I1085" s="8" t="s">
        <v>14</v>
      </c>
      <c r="J1085" s="8" t="s">
        <v>11</v>
      </c>
      <c r="K1085" s="9">
        <v>57</v>
      </c>
      <c r="L1085" s="9">
        <v>75</v>
      </c>
      <c r="M1085" s="9">
        <f t="shared" si="16"/>
        <v>4275</v>
      </c>
    </row>
    <row r="1086" spans="6:13" x14ac:dyDescent="0.3">
      <c r="F1086" s="7">
        <v>44456</v>
      </c>
      <c r="G1086" s="8" t="s">
        <v>15</v>
      </c>
      <c r="H1086" s="8" t="s">
        <v>13</v>
      </c>
      <c r="I1086" s="8" t="s">
        <v>14</v>
      </c>
      <c r="J1086" s="8" t="s">
        <v>11</v>
      </c>
      <c r="K1086" s="9">
        <v>13</v>
      </c>
      <c r="L1086" s="9">
        <v>315</v>
      </c>
      <c r="M1086" s="9">
        <f t="shared" si="16"/>
        <v>4095</v>
      </c>
    </row>
    <row r="1087" spans="6:13" x14ac:dyDescent="0.3">
      <c r="F1087" s="7">
        <v>44456</v>
      </c>
      <c r="G1087" s="8" t="s">
        <v>16</v>
      </c>
      <c r="H1087" s="8" t="s">
        <v>9</v>
      </c>
      <c r="I1087" s="8" t="s">
        <v>14</v>
      </c>
      <c r="J1087" s="8" t="s">
        <v>11</v>
      </c>
      <c r="K1087" s="9">
        <v>4</v>
      </c>
      <c r="L1087" s="9">
        <v>1080</v>
      </c>
      <c r="M1087" s="9">
        <f t="shared" si="16"/>
        <v>4320</v>
      </c>
    </row>
    <row r="1088" spans="6:13" x14ac:dyDescent="0.3">
      <c r="F1088" s="7">
        <v>44456</v>
      </c>
      <c r="G1088" s="8" t="s">
        <v>17</v>
      </c>
      <c r="H1088" s="8" t="s">
        <v>18</v>
      </c>
      <c r="I1088" s="8" t="s">
        <v>10</v>
      </c>
      <c r="J1088" s="8" t="s">
        <v>11</v>
      </c>
      <c r="K1088" s="9">
        <v>6</v>
      </c>
      <c r="L1088" s="9">
        <v>1575</v>
      </c>
      <c r="M1088" s="9">
        <f t="shared" si="16"/>
        <v>9450</v>
      </c>
    </row>
    <row r="1089" spans="6:13" x14ac:dyDescent="0.3">
      <c r="F1089" s="7">
        <v>44456</v>
      </c>
      <c r="G1089" s="8" t="s">
        <v>19</v>
      </c>
      <c r="H1089" s="8" t="s">
        <v>18</v>
      </c>
      <c r="I1089" s="8" t="s">
        <v>10</v>
      </c>
      <c r="J1089" s="8" t="s">
        <v>11</v>
      </c>
      <c r="K1089" s="9">
        <v>7</v>
      </c>
      <c r="L1089" s="9">
        <v>790</v>
      </c>
      <c r="M1089" s="9">
        <f t="shared" si="16"/>
        <v>5530</v>
      </c>
    </row>
    <row r="1090" spans="6:13" x14ac:dyDescent="0.3">
      <c r="F1090" s="7">
        <v>44456</v>
      </c>
      <c r="G1090" s="8" t="s">
        <v>8</v>
      </c>
      <c r="H1090" s="8" t="s">
        <v>9</v>
      </c>
      <c r="I1090" s="8" t="s">
        <v>20</v>
      </c>
      <c r="J1090" s="8" t="s">
        <v>21</v>
      </c>
      <c r="K1090" s="9">
        <v>5</v>
      </c>
      <c r="L1090" s="9">
        <v>2001</v>
      </c>
      <c r="M1090" s="9">
        <f t="shared" si="16"/>
        <v>10005</v>
      </c>
    </row>
    <row r="1091" spans="6:13" x14ac:dyDescent="0.3">
      <c r="F1091" s="7">
        <v>44456</v>
      </c>
      <c r="G1091" s="8" t="s">
        <v>12</v>
      </c>
      <c r="H1091" s="8" t="s">
        <v>13</v>
      </c>
      <c r="I1091" s="8" t="s">
        <v>22</v>
      </c>
      <c r="J1091" s="8" t="s">
        <v>21</v>
      </c>
      <c r="K1091" s="9">
        <v>40</v>
      </c>
      <c r="L1091" s="9">
        <v>75</v>
      </c>
      <c r="M1091" s="9">
        <f t="shared" si="16"/>
        <v>3000</v>
      </c>
    </row>
    <row r="1092" spans="6:13" x14ac:dyDescent="0.3">
      <c r="F1092" s="7">
        <v>44456</v>
      </c>
      <c r="G1092" s="8" t="s">
        <v>15</v>
      </c>
      <c r="H1092" s="8" t="s">
        <v>13</v>
      </c>
      <c r="I1092" s="8" t="s">
        <v>22</v>
      </c>
      <c r="J1092" s="8" t="s">
        <v>21</v>
      </c>
      <c r="K1092" s="9">
        <v>13</v>
      </c>
      <c r="L1092" s="9">
        <v>315</v>
      </c>
      <c r="M1092" s="9">
        <f t="shared" ref="M1092:M1155" si="17">K1092*L1092</f>
        <v>4095</v>
      </c>
    </row>
    <row r="1093" spans="6:13" x14ac:dyDescent="0.3">
      <c r="F1093" s="7">
        <v>44456</v>
      </c>
      <c r="G1093" s="8" t="s">
        <v>16</v>
      </c>
      <c r="H1093" s="8" t="s">
        <v>9</v>
      </c>
      <c r="I1093" s="8" t="s">
        <v>20</v>
      </c>
      <c r="J1093" s="8" t="s">
        <v>21</v>
      </c>
      <c r="K1093" s="9">
        <v>3</v>
      </c>
      <c r="L1093" s="9">
        <v>1080</v>
      </c>
      <c r="M1093" s="9">
        <f t="shared" si="17"/>
        <v>3240</v>
      </c>
    </row>
    <row r="1094" spans="6:13" x14ac:dyDescent="0.3">
      <c r="F1094" s="7">
        <v>44456</v>
      </c>
      <c r="G1094" s="8" t="s">
        <v>17</v>
      </c>
      <c r="H1094" s="8" t="s">
        <v>18</v>
      </c>
      <c r="I1094" s="8" t="s">
        <v>22</v>
      </c>
      <c r="J1094" s="8" t="s">
        <v>21</v>
      </c>
      <c r="K1094" s="9">
        <v>2</v>
      </c>
      <c r="L1094" s="9">
        <v>1575</v>
      </c>
      <c r="M1094" s="9">
        <f t="shared" si="17"/>
        <v>3150</v>
      </c>
    </row>
    <row r="1095" spans="6:13" x14ac:dyDescent="0.3">
      <c r="F1095" s="7">
        <v>44456</v>
      </c>
      <c r="G1095" s="8" t="s">
        <v>19</v>
      </c>
      <c r="H1095" s="8" t="s">
        <v>18</v>
      </c>
      <c r="I1095" s="8" t="s">
        <v>22</v>
      </c>
      <c r="J1095" s="8" t="s">
        <v>21</v>
      </c>
      <c r="K1095" s="9">
        <v>11</v>
      </c>
      <c r="L1095" s="9">
        <v>790</v>
      </c>
      <c r="M1095" s="9">
        <f t="shared" si="17"/>
        <v>8690</v>
      </c>
    </row>
    <row r="1096" spans="6:13" x14ac:dyDescent="0.3">
      <c r="F1096" s="7">
        <v>44456</v>
      </c>
      <c r="G1096" s="8" t="s">
        <v>8</v>
      </c>
      <c r="H1096" s="8" t="s">
        <v>9</v>
      </c>
      <c r="I1096" s="8" t="s">
        <v>23</v>
      </c>
      <c r="J1096" s="8" t="s">
        <v>24</v>
      </c>
      <c r="K1096" s="9">
        <v>4</v>
      </c>
      <c r="L1096" s="9">
        <v>2001</v>
      </c>
      <c r="M1096" s="9">
        <f t="shared" si="17"/>
        <v>8004</v>
      </c>
    </row>
    <row r="1097" spans="6:13" x14ac:dyDescent="0.3">
      <c r="F1097" s="7">
        <v>44456</v>
      </c>
      <c r="G1097" s="8" t="s">
        <v>12</v>
      </c>
      <c r="H1097" s="8" t="s">
        <v>13</v>
      </c>
      <c r="I1097" s="8" t="s">
        <v>25</v>
      </c>
      <c r="J1097" s="8" t="s">
        <v>24</v>
      </c>
      <c r="K1097" s="9">
        <v>26</v>
      </c>
      <c r="L1097" s="9">
        <v>75</v>
      </c>
      <c r="M1097" s="9">
        <f t="shared" si="17"/>
        <v>1950</v>
      </c>
    </row>
    <row r="1098" spans="6:13" x14ac:dyDescent="0.3">
      <c r="F1098" s="7">
        <v>44456</v>
      </c>
      <c r="G1098" s="8" t="s">
        <v>15</v>
      </c>
      <c r="H1098" s="8" t="s">
        <v>13</v>
      </c>
      <c r="I1098" s="8" t="s">
        <v>25</v>
      </c>
      <c r="J1098" s="8" t="s">
        <v>24</v>
      </c>
      <c r="K1098" s="9">
        <v>11</v>
      </c>
      <c r="L1098" s="9">
        <v>315</v>
      </c>
      <c r="M1098" s="9">
        <f t="shared" si="17"/>
        <v>3465</v>
      </c>
    </row>
    <row r="1099" spans="6:13" x14ac:dyDescent="0.3">
      <c r="F1099" s="7">
        <v>44456</v>
      </c>
      <c r="G1099" s="8" t="s">
        <v>16</v>
      </c>
      <c r="H1099" s="8" t="s">
        <v>9</v>
      </c>
      <c r="I1099" s="8" t="s">
        <v>23</v>
      </c>
      <c r="J1099" s="8" t="s">
        <v>24</v>
      </c>
      <c r="K1099" s="9">
        <v>4</v>
      </c>
      <c r="L1099" s="9">
        <v>1080</v>
      </c>
      <c r="M1099" s="9">
        <f t="shared" si="17"/>
        <v>4320</v>
      </c>
    </row>
    <row r="1100" spans="6:13" x14ac:dyDescent="0.3">
      <c r="F1100" s="7">
        <v>44456</v>
      </c>
      <c r="G1100" s="8" t="s">
        <v>17</v>
      </c>
      <c r="H1100" s="8" t="s">
        <v>18</v>
      </c>
      <c r="I1100" s="8" t="s">
        <v>25</v>
      </c>
      <c r="J1100" s="8" t="s">
        <v>24</v>
      </c>
      <c r="K1100" s="9">
        <v>3</v>
      </c>
      <c r="L1100" s="9">
        <v>1575</v>
      </c>
      <c r="M1100" s="9">
        <f t="shared" si="17"/>
        <v>4725</v>
      </c>
    </row>
    <row r="1101" spans="6:13" x14ac:dyDescent="0.3">
      <c r="F1101" s="7">
        <v>44456</v>
      </c>
      <c r="G1101" s="8" t="s">
        <v>19</v>
      </c>
      <c r="H1101" s="8" t="s">
        <v>18</v>
      </c>
      <c r="I1101" s="8" t="s">
        <v>25</v>
      </c>
      <c r="J1101" s="8" t="s">
        <v>24</v>
      </c>
      <c r="K1101" s="9">
        <v>6</v>
      </c>
      <c r="L1101" s="9">
        <v>790</v>
      </c>
      <c r="M1101" s="9">
        <f t="shared" si="17"/>
        <v>4740</v>
      </c>
    </row>
    <row r="1102" spans="6:13" x14ac:dyDescent="0.3">
      <c r="F1102" s="7">
        <v>44456</v>
      </c>
      <c r="G1102" s="8" t="s">
        <v>8</v>
      </c>
      <c r="H1102" s="8" t="s">
        <v>9</v>
      </c>
      <c r="I1102" s="8" t="s">
        <v>26</v>
      </c>
      <c r="J1102" s="8" t="s">
        <v>27</v>
      </c>
      <c r="K1102" s="9">
        <v>3</v>
      </c>
      <c r="L1102" s="9">
        <v>2001</v>
      </c>
      <c r="M1102" s="9">
        <f t="shared" si="17"/>
        <v>6003</v>
      </c>
    </row>
    <row r="1103" spans="6:13" x14ac:dyDescent="0.3">
      <c r="F1103" s="7">
        <v>44456</v>
      </c>
      <c r="G1103" s="8" t="s">
        <v>12</v>
      </c>
      <c r="H1103" s="8" t="s">
        <v>13</v>
      </c>
      <c r="I1103" s="8" t="s">
        <v>28</v>
      </c>
      <c r="J1103" s="8" t="s">
        <v>27</v>
      </c>
      <c r="K1103" s="9">
        <v>44</v>
      </c>
      <c r="L1103" s="9">
        <v>75</v>
      </c>
      <c r="M1103" s="9">
        <f t="shared" si="17"/>
        <v>3300</v>
      </c>
    </row>
    <row r="1104" spans="6:13" x14ac:dyDescent="0.3">
      <c r="F1104" s="7">
        <v>44456</v>
      </c>
      <c r="G1104" s="8" t="s">
        <v>15</v>
      </c>
      <c r="H1104" s="8" t="s">
        <v>13</v>
      </c>
      <c r="I1104" s="8" t="s">
        <v>28</v>
      </c>
      <c r="J1104" s="8" t="s">
        <v>27</v>
      </c>
      <c r="K1104" s="9">
        <v>11</v>
      </c>
      <c r="L1104" s="9">
        <v>315</v>
      </c>
      <c r="M1104" s="9">
        <f t="shared" si="17"/>
        <v>3465</v>
      </c>
    </row>
    <row r="1105" spans="6:13" x14ac:dyDescent="0.3">
      <c r="F1105" s="7">
        <v>44456</v>
      </c>
      <c r="G1105" s="8" t="s">
        <v>16</v>
      </c>
      <c r="H1105" s="8" t="s">
        <v>9</v>
      </c>
      <c r="I1105" s="8" t="s">
        <v>26</v>
      </c>
      <c r="J1105" s="8" t="s">
        <v>27</v>
      </c>
      <c r="K1105" s="9">
        <v>4</v>
      </c>
      <c r="L1105" s="9">
        <v>1080</v>
      </c>
      <c r="M1105" s="9">
        <f t="shared" si="17"/>
        <v>4320</v>
      </c>
    </row>
    <row r="1106" spans="6:13" x14ac:dyDescent="0.3">
      <c r="F1106" s="7">
        <v>44456</v>
      </c>
      <c r="G1106" s="8" t="s">
        <v>17</v>
      </c>
      <c r="H1106" s="8" t="s">
        <v>18</v>
      </c>
      <c r="I1106" s="8" t="s">
        <v>28</v>
      </c>
      <c r="J1106" s="8" t="s">
        <v>27</v>
      </c>
      <c r="K1106" s="9">
        <v>4</v>
      </c>
      <c r="L1106" s="9">
        <v>1575</v>
      </c>
      <c r="M1106" s="9">
        <f t="shared" si="17"/>
        <v>6300</v>
      </c>
    </row>
    <row r="1107" spans="6:13" x14ac:dyDescent="0.3">
      <c r="F1107" s="7">
        <v>44456</v>
      </c>
      <c r="G1107" s="8" t="s">
        <v>19</v>
      </c>
      <c r="H1107" s="8" t="s">
        <v>18</v>
      </c>
      <c r="I1107" s="8" t="s">
        <v>28</v>
      </c>
      <c r="J1107" s="8" t="s">
        <v>27</v>
      </c>
      <c r="K1107" s="9">
        <v>9</v>
      </c>
      <c r="L1107" s="9">
        <v>790</v>
      </c>
      <c r="M1107" s="9">
        <f t="shared" si="17"/>
        <v>7110</v>
      </c>
    </row>
    <row r="1108" spans="6:13" x14ac:dyDescent="0.3">
      <c r="F1108" s="7">
        <v>44456</v>
      </c>
      <c r="G1108" s="8" t="s">
        <v>8</v>
      </c>
      <c r="H1108" s="8" t="s">
        <v>9</v>
      </c>
      <c r="I1108" s="8" t="s">
        <v>29</v>
      </c>
      <c r="J1108" s="8" t="s">
        <v>30</v>
      </c>
      <c r="K1108" s="9">
        <v>6</v>
      </c>
      <c r="L1108" s="9">
        <v>2001</v>
      </c>
      <c r="M1108" s="9">
        <f t="shared" si="17"/>
        <v>12006</v>
      </c>
    </row>
    <row r="1109" spans="6:13" x14ac:dyDescent="0.3">
      <c r="F1109" s="7">
        <v>44456</v>
      </c>
      <c r="G1109" s="8" t="s">
        <v>12</v>
      </c>
      <c r="H1109" s="8" t="s">
        <v>13</v>
      </c>
      <c r="I1109" s="8" t="s">
        <v>31</v>
      </c>
      <c r="J1109" s="8" t="s">
        <v>30</v>
      </c>
      <c r="K1109" s="9">
        <v>49</v>
      </c>
      <c r="L1109" s="9">
        <v>75</v>
      </c>
      <c r="M1109" s="9">
        <f t="shared" si="17"/>
        <v>3675</v>
      </c>
    </row>
    <row r="1110" spans="6:13" x14ac:dyDescent="0.3">
      <c r="F1110" s="7">
        <v>44456</v>
      </c>
      <c r="G1110" s="8" t="s">
        <v>15</v>
      </c>
      <c r="H1110" s="8" t="s">
        <v>13</v>
      </c>
      <c r="I1110" s="8" t="s">
        <v>31</v>
      </c>
      <c r="J1110" s="8" t="s">
        <v>30</v>
      </c>
      <c r="K1110" s="9">
        <v>15</v>
      </c>
      <c r="L1110" s="9">
        <v>315</v>
      </c>
      <c r="M1110" s="9">
        <f t="shared" si="17"/>
        <v>4725</v>
      </c>
    </row>
    <row r="1111" spans="6:13" x14ac:dyDescent="0.3">
      <c r="F1111" s="7">
        <v>44456</v>
      </c>
      <c r="G1111" s="8" t="s">
        <v>16</v>
      </c>
      <c r="H1111" s="8" t="s">
        <v>9</v>
      </c>
      <c r="I1111" s="8" t="s">
        <v>29</v>
      </c>
      <c r="J1111" s="8" t="s">
        <v>30</v>
      </c>
      <c r="K1111" s="9">
        <v>6</v>
      </c>
      <c r="L1111" s="9">
        <v>1080</v>
      </c>
      <c r="M1111" s="9">
        <f t="shared" si="17"/>
        <v>6480</v>
      </c>
    </row>
    <row r="1112" spans="6:13" x14ac:dyDescent="0.3">
      <c r="F1112" s="7">
        <v>44456</v>
      </c>
      <c r="G1112" s="8" t="s">
        <v>17</v>
      </c>
      <c r="H1112" s="8" t="s">
        <v>18</v>
      </c>
      <c r="I1112" s="8" t="s">
        <v>29</v>
      </c>
      <c r="J1112" s="8" t="s">
        <v>30</v>
      </c>
      <c r="K1112" s="9">
        <v>4</v>
      </c>
      <c r="L1112" s="9">
        <v>1575</v>
      </c>
      <c r="M1112" s="9">
        <f t="shared" si="17"/>
        <v>6300</v>
      </c>
    </row>
    <row r="1113" spans="6:13" x14ac:dyDescent="0.3">
      <c r="F1113" s="7">
        <v>44456</v>
      </c>
      <c r="G1113" s="8" t="s">
        <v>19</v>
      </c>
      <c r="H1113" s="8" t="s">
        <v>18</v>
      </c>
      <c r="I1113" s="8" t="s">
        <v>29</v>
      </c>
      <c r="J1113" s="8" t="s">
        <v>30</v>
      </c>
      <c r="K1113" s="9">
        <v>5</v>
      </c>
      <c r="L1113" s="9">
        <v>790</v>
      </c>
      <c r="M1113" s="9">
        <f t="shared" si="17"/>
        <v>3950</v>
      </c>
    </row>
    <row r="1114" spans="6:13" x14ac:dyDescent="0.3">
      <c r="F1114" s="7">
        <v>44463</v>
      </c>
      <c r="G1114" s="8" t="s">
        <v>8</v>
      </c>
      <c r="H1114" s="8" t="s">
        <v>9</v>
      </c>
      <c r="I1114" s="8" t="s">
        <v>14</v>
      </c>
      <c r="J1114" s="8" t="s">
        <v>11</v>
      </c>
      <c r="K1114" s="9">
        <v>5</v>
      </c>
      <c r="L1114" s="9">
        <v>2001</v>
      </c>
      <c r="M1114" s="9">
        <f t="shared" si="17"/>
        <v>10005</v>
      </c>
    </row>
    <row r="1115" spans="6:13" x14ac:dyDescent="0.3">
      <c r="F1115" s="7">
        <v>44463</v>
      </c>
      <c r="G1115" s="8" t="s">
        <v>12</v>
      </c>
      <c r="H1115" s="8" t="s">
        <v>13</v>
      </c>
      <c r="I1115" s="8" t="s">
        <v>14</v>
      </c>
      <c r="J1115" s="8" t="s">
        <v>11</v>
      </c>
      <c r="K1115" s="9">
        <v>32</v>
      </c>
      <c r="L1115" s="9">
        <v>75</v>
      </c>
      <c r="M1115" s="9">
        <f t="shared" si="17"/>
        <v>2400</v>
      </c>
    </row>
    <row r="1116" spans="6:13" x14ac:dyDescent="0.3">
      <c r="F1116" s="7">
        <v>44463</v>
      </c>
      <c r="G1116" s="8" t="s">
        <v>15</v>
      </c>
      <c r="H1116" s="8" t="s">
        <v>13</v>
      </c>
      <c r="I1116" s="8" t="s">
        <v>14</v>
      </c>
      <c r="J1116" s="8" t="s">
        <v>11</v>
      </c>
      <c r="K1116" s="9">
        <v>10</v>
      </c>
      <c r="L1116" s="9">
        <v>315</v>
      </c>
      <c r="M1116" s="9">
        <f t="shared" si="17"/>
        <v>3150</v>
      </c>
    </row>
    <row r="1117" spans="6:13" x14ac:dyDescent="0.3">
      <c r="F1117" s="7">
        <v>44463</v>
      </c>
      <c r="G1117" s="8" t="s">
        <v>16</v>
      </c>
      <c r="H1117" s="8" t="s">
        <v>9</v>
      </c>
      <c r="I1117" s="8" t="s">
        <v>14</v>
      </c>
      <c r="J1117" s="8" t="s">
        <v>11</v>
      </c>
      <c r="K1117" s="9">
        <v>3</v>
      </c>
      <c r="L1117" s="9">
        <v>1080</v>
      </c>
      <c r="M1117" s="9">
        <f t="shared" si="17"/>
        <v>3240</v>
      </c>
    </row>
    <row r="1118" spans="6:13" x14ac:dyDescent="0.3">
      <c r="F1118" s="7">
        <v>44463</v>
      </c>
      <c r="G1118" s="8" t="s">
        <v>17</v>
      </c>
      <c r="H1118" s="8" t="s">
        <v>18</v>
      </c>
      <c r="I1118" s="8" t="s">
        <v>10</v>
      </c>
      <c r="J1118" s="8" t="s">
        <v>11</v>
      </c>
      <c r="K1118" s="9">
        <v>2</v>
      </c>
      <c r="L1118" s="9">
        <v>1575</v>
      </c>
      <c r="M1118" s="9">
        <f t="shared" si="17"/>
        <v>3150</v>
      </c>
    </row>
    <row r="1119" spans="6:13" x14ac:dyDescent="0.3">
      <c r="F1119" s="7">
        <v>44463</v>
      </c>
      <c r="G1119" s="8" t="s">
        <v>19</v>
      </c>
      <c r="H1119" s="8" t="s">
        <v>18</v>
      </c>
      <c r="I1119" s="8" t="s">
        <v>10</v>
      </c>
      <c r="J1119" s="8" t="s">
        <v>11</v>
      </c>
      <c r="K1119" s="9">
        <v>5</v>
      </c>
      <c r="L1119" s="9">
        <v>790</v>
      </c>
      <c r="M1119" s="9">
        <f t="shared" si="17"/>
        <v>3950</v>
      </c>
    </row>
    <row r="1120" spans="6:13" x14ac:dyDescent="0.3">
      <c r="F1120" s="7">
        <v>44463</v>
      </c>
      <c r="G1120" s="8" t="s">
        <v>8</v>
      </c>
      <c r="H1120" s="8" t="s">
        <v>9</v>
      </c>
      <c r="I1120" s="8" t="s">
        <v>20</v>
      </c>
      <c r="J1120" s="8" t="s">
        <v>21</v>
      </c>
      <c r="K1120" s="9">
        <v>6</v>
      </c>
      <c r="L1120" s="9">
        <v>2001</v>
      </c>
      <c r="M1120" s="9">
        <f t="shared" si="17"/>
        <v>12006</v>
      </c>
    </row>
    <row r="1121" spans="6:13" x14ac:dyDescent="0.3">
      <c r="F1121" s="7">
        <v>44463</v>
      </c>
      <c r="G1121" s="8" t="s">
        <v>12</v>
      </c>
      <c r="H1121" s="8" t="s">
        <v>13</v>
      </c>
      <c r="I1121" s="8" t="s">
        <v>22</v>
      </c>
      <c r="J1121" s="8" t="s">
        <v>21</v>
      </c>
      <c r="K1121" s="9">
        <v>37</v>
      </c>
      <c r="L1121" s="9">
        <v>75</v>
      </c>
      <c r="M1121" s="9">
        <f t="shared" si="17"/>
        <v>2775</v>
      </c>
    </row>
    <row r="1122" spans="6:13" x14ac:dyDescent="0.3">
      <c r="F1122" s="7">
        <v>44463</v>
      </c>
      <c r="G1122" s="8" t="s">
        <v>15</v>
      </c>
      <c r="H1122" s="8" t="s">
        <v>13</v>
      </c>
      <c r="I1122" s="8" t="s">
        <v>22</v>
      </c>
      <c r="J1122" s="8" t="s">
        <v>21</v>
      </c>
      <c r="K1122" s="9">
        <v>9</v>
      </c>
      <c r="L1122" s="9">
        <v>315</v>
      </c>
      <c r="M1122" s="9">
        <f t="shared" si="17"/>
        <v>2835</v>
      </c>
    </row>
    <row r="1123" spans="6:13" x14ac:dyDescent="0.3">
      <c r="F1123" s="7">
        <v>44463</v>
      </c>
      <c r="G1123" s="8" t="s">
        <v>16</v>
      </c>
      <c r="H1123" s="8" t="s">
        <v>9</v>
      </c>
      <c r="I1123" s="8" t="s">
        <v>20</v>
      </c>
      <c r="J1123" s="8" t="s">
        <v>21</v>
      </c>
      <c r="K1123" s="9">
        <v>2</v>
      </c>
      <c r="L1123" s="9">
        <v>1080</v>
      </c>
      <c r="M1123" s="9">
        <f t="shared" si="17"/>
        <v>2160</v>
      </c>
    </row>
    <row r="1124" spans="6:13" x14ac:dyDescent="0.3">
      <c r="F1124" s="7">
        <v>44463</v>
      </c>
      <c r="G1124" s="8" t="s">
        <v>17</v>
      </c>
      <c r="H1124" s="8" t="s">
        <v>18</v>
      </c>
      <c r="I1124" s="8" t="s">
        <v>22</v>
      </c>
      <c r="J1124" s="8" t="s">
        <v>21</v>
      </c>
      <c r="K1124" s="9">
        <v>2</v>
      </c>
      <c r="L1124" s="9">
        <v>1575</v>
      </c>
      <c r="M1124" s="9">
        <f t="shared" si="17"/>
        <v>3150</v>
      </c>
    </row>
    <row r="1125" spans="6:13" x14ac:dyDescent="0.3">
      <c r="F1125" s="7">
        <v>44463</v>
      </c>
      <c r="G1125" s="8" t="s">
        <v>19</v>
      </c>
      <c r="H1125" s="8" t="s">
        <v>18</v>
      </c>
      <c r="I1125" s="8" t="s">
        <v>22</v>
      </c>
      <c r="J1125" s="8" t="s">
        <v>21</v>
      </c>
      <c r="K1125" s="9">
        <v>7</v>
      </c>
      <c r="L1125" s="9">
        <v>790</v>
      </c>
      <c r="M1125" s="9">
        <f t="shared" si="17"/>
        <v>5530</v>
      </c>
    </row>
    <row r="1126" spans="6:13" x14ac:dyDescent="0.3">
      <c r="F1126" s="7">
        <v>44463</v>
      </c>
      <c r="G1126" s="8" t="s">
        <v>8</v>
      </c>
      <c r="H1126" s="8" t="s">
        <v>9</v>
      </c>
      <c r="I1126" s="8" t="s">
        <v>23</v>
      </c>
      <c r="J1126" s="8" t="s">
        <v>24</v>
      </c>
      <c r="K1126" s="9">
        <v>5</v>
      </c>
      <c r="L1126" s="9">
        <v>2001</v>
      </c>
      <c r="M1126" s="9">
        <f t="shared" si="17"/>
        <v>10005</v>
      </c>
    </row>
    <row r="1127" spans="6:13" x14ac:dyDescent="0.3">
      <c r="F1127" s="7">
        <v>44463</v>
      </c>
      <c r="G1127" s="8" t="s">
        <v>12</v>
      </c>
      <c r="H1127" s="8" t="s">
        <v>13</v>
      </c>
      <c r="I1127" s="8" t="s">
        <v>25</v>
      </c>
      <c r="J1127" s="8" t="s">
        <v>24</v>
      </c>
      <c r="K1127" s="9">
        <v>26</v>
      </c>
      <c r="L1127" s="9">
        <v>75</v>
      </c>
      <c r="M1127" s="9">
        <f t="shared" si="17"/>
        <v>1950</v>
      </c>
    </row>
    <row r="1128" spans="6:13" x14ac:dyDescent="0.3">
      <c r="F1128" s="7">
        <v>44463</v>
      </c>
      <c r="G1128" s="8" t="s">
        <v>15</v>
      </c>
      <c r="H1128" s="8" t="s">
        <v>13</v>
      </c>
      <c r="I1128" s="8" t="s">
        <v>25</v>
      </c>
      <c r="J1128" s="8" t="s">
        <v>24</v>
      </c>
      <c r="K1128" s="9">
        <v>5</v>
      </c>
      <c r="L1128" s="9">
        <v>315</v>
      </c>
      <c r="M1128" s="9">
        <f t="shared" si="17"/>
        <v>1575</v>
      </c>
    </row>
    <row r="1129" spans="6:13" x14ac:dyDescent="0.3">
      <c r="F1129" s="7">
        <v>44463</v>
      </c>
      <c r="G1129" s="8" t="s">
        <v>16</v>
      </c>
      <c r="H1129" s="8" t="s">
        <v>9</v>
      </c>
      <c r="I1129" s="8" t="s">
        <v>23</v>
      </c>
      <c r="J1129" s="8" t="s">
        <v>24</v>
      </c>
      <c r="K1129" s="9">
        <v>6</v>
      </c>
      <c r="L1129" s="9">
        <v>1080</v>
      </c>
      <c r="M1129" s="9">
        <f t="shared" si="17"/>
        <v>6480</v>
      </c>
    </row>
    <row r="1130" spans="6:13" x14ac:dyDescent="0.3">
      <c r="F1130" s="7">
        <v>44463</v>
      </c>
      <c r="G1130" s="8" t="s">
        <v>17</v>
      </c>
      <c r="H1130" s="8" t="s">
        <v>18</v>
      </c>
      <c r="I1130" s="8" t="s">
        <v>25</v>
      </c>
      <c r="J1130" s="8" t="s">
        <v>24</v>
      </c>
      <c r="K1130" s="9">
        <v>5</v>
      </c>
      <c r="L1130" s="9">
        <v>1575</v>
      </c>
      <c r="M1130" s="9">
        <f t="shared" si="17"/>
        <v>7875</v>
      </c>
    </row>
    <row r="1131" spans="6:13" x14ac:dyDescent="0.3">
      <c r="F1131" s="7">
        <v>44463</v>
      </c>
      <c r="G1131" s="8" t="s">
        <v>19</v>
      </c>
      <c r="H1131" s="8" t="s">
        <v>18</v>
      </c>
      <c r="I1131" s="8" t="s">
        <v>25</v>
      </c>
      <c r="J1131" s="8" t="s">
        <v>24</v>
      </c>
      <c r="K1131" s="9">
        <v>5</v>
      </c>
      <c r="L1131" s="9">
        <v>790</v>
      </c>
      <c r="M1131" s="9">
        <f t="shared" si="17"/>
        <v>3950</v>
      </c>
    </row>
    <row r="1132" spans="6:13" x14ac:dyDescent="0.3">
      <c r="F1132" s="7">
        <v>44463</v>
      </c>
      <c r="G1132" s="8" t="s">
        <v>8</v>
      </c>
      <c r="H1132" s="8" t="s">
        <v>9</v>
      </c>
      <c r="I1132" s="8" t="s">
        <v>26</v>
      </c>
      <c r="J1132" s="8" t="s">
        <v>27</v>
      </c>
      <c r="K1132" s="9">
        <v>3</v>
      </c>
      <c r="L1132" s="9">
        <v>2001</v>
      </c>
      <c r="M1132" s="9">
        <f t="shared" si="17"/>
        <v>6003</v>
      </c>
    </row>
    <row r="1133" spans="6:13" x14ac:dyDescent="0.3">
      <c r="F1133" s="7">
        <v>44463</v>
      </c>
      <c r="G1133" s="8" t="s">
        <v>12</v>
      </c>
      <c r="H1133" s="8" t="s">
        <v>13</v>
      </c>
      <c r="I1133" s="8" t="s">
        <v>28</v>
      </c>
      <c r="J1133" s="8" t="s">
        <v>27</v>
      </c>
      <c r="K1133" s="9">
        <v>31</v>
      </c>
      <c r="L1133" s="9">
        <v>75</v>
      </c>
      <c r="M1133" s="9">
        <f t="shared" si="17"/>
        <v>2325</v>
      </c>
    </row>
    <row r="1134" spans="6:13" x14ac:dyDescent="0.3">
      <c r="F1134" s="7">
        <v>44463</v>
      </c>
      <c r="G1134" s="8" t="s">
        <v>15</v>
      </c>
      <c r="H1134" s="8" t="s">
        <v>13</v>
      </c>
      <c r="I1134" s="8" t="s">
        <v>28</v>
      </c>
      <c r="J1134" s="8" t="s">
        <v>27</v>
      </c>
      <c r="K1134" s="9">
        <v>8</v>
      </c>
      <c r="L1134" s="9">
        <v>315</v>
      </c>
      <c r="M1134" s="9">
        <f t="shared" si="17"/>
        <v>2520</v>
      </c>
    </row>
    <row r="1135" spans="6:13" x14ac:dyDescent="0.3">
      <c r="F1135" s="7">
        <v>44463</v>
      </c>
      <c r="G1135" s="8" t="s">
        <v>16</v>
      </c>
      <c r="H1135" s="8" t="s">
        <v>9</v>
      </c>
      <c r="I1135" s="8" t="s">
        <v>26</v>
      </c>
      <c r="J1135" s="8" t="s">
        <v>27</v>
      </c>
      <c r="K1135" s="9">
        <v>4</v>
      </c>
      <c r="L1135" s="9">
        <v>1080</v>
      </c>
      <c r="M1135" s="9">
        <f t="shared" si="17"/>
        <v>4320</v>
      </c>
    </row>
    <row r="1136" spans="6:13" x14ac:dyDescent="0.3">
      <c r="F1136" s="7">
        <v>44463</v>
      </c>
      <c r="G1136" s="8" t="s">
        <v>17</v>
      </c>
      <c r="H1136" s="8" t="s">
        <v>18</v>
      </c>
      <c r="I1136" s="8" t="s">
        <v>28</v>
      </c>
      <c r="J1136" s="8" t="s">
        <v>27</v>
      </c>
      <c r="K1136" s="9">
        <v>6</v>
      </c>
      <c r="L1136" s="9">
        <v>1575</v>
      </c>
      <c r="M1136" s="9">
        <f t="shared" si="17"/>
        <v>9450</v>
      </c>
    </row>
    <row r="1137" spans="6:13" x14ac:dyDescent="0.3">
      <c r="F1137" s="7">
        <v>44463</v>
      </c>
      <c r="G1137" s="8" t="s">
        <v>19</v>
      </c>
      <c r="H1137" s="8" t="s">
        <v>18</v>
      </c>
      <c r="I1137" s="8" t="s">
        <v>28</v>
      </c>
      <c r="J1137" s="8" t="s">
        <v>27</v>
      </c>
      <c r="K1137" s="9">
        <v>11</v>
      </c>
      <c r="L1137" s="9">
        <v>790</v>
      </c>
      <c r="M1137" s="9">
        <f t="shared" si="17"/>
        <v>8690</v>
      </c>
    </row>
    <row r="1138" spans="6:13" x14ac:dyDescent="0.3">
      <c r="F1138" s="7">
        <v>44463</v>
      </c>
      <c r="G1138" s="8" t="s">
        <v>8</v>
      </c>
      <c r="H1138" s="8" t="s">
        <v>9</v>
      </c>
      <c r="I1138" s="8" t="s">
        <v>29</v>
      </c>
      <c r="J1138" s="8" t="s">
        <v>30</v>
      </c>
      <c r="K1138" s="9">
        <v>5</v>
      </c>
      <c r="L1138" s="9">
        <v>2001</v>
      </c>
      <c r="M1138" s="9">
        <f t="shared" si="17"/>
        <v>10005</v>
      </c>
    </row>
    <row r="1139" spans="6:13" x14ac:dyDescent="0.3">
      <c r="F1139" s="7">
        <v>44463</v>
      </c>
      <c r="G1139" s="8" t="s">
        <v>12</v>
      </c>
      <c r="H1139" s="8" t="s">
        <v>13</v>
      </c>
      <c r="I1139" s="8" t="s">
        <v>31</v>
      </c>
      <c r="J1139" s="8" t="s">
        <v>30</v>
      </c>
      <c r="K1139" s="9">
        <v>33</v>
      </c>
      <c r="L1139" s="9">
        <v>75</v>
      </c>
      <c r="M1139" s="9">
        <f t="shared" si="17"/>
        <v>2475</v>
      </c>
    </row>
    <row r="1140" spans="6:13" x14ac:dyDescent="0.3">
      <c r="F1140" s="7">
        <v>44463</v>
      </c>
      <c r="G1140" s="8" t="s">
        <v>15</v>
      </c>
      <c r="H1140" s="8" t="s">
        <v>13</v>
      </c>
      <c r="I1140" s="8" t="s">
        <v>31</v>
      </c>
      <c r="J1140" s="8" t="s">
        <v>30</v>
      </c>
      <c r="K1140" s="9">
        <v>6</v>
      </c>
      <c r="L1140" s="9">
        <v>315</v>
      </c>
      <c r="M1140" s="9">
        <f t="shared" si="17"/>
        <v>1890</v>
      </c>
    </row>
    <row r="1141" spans="6:13" x14ac:dyDescent="0.3">
      <c r="F1141" s="7">
        <v>44463</v>
      </c>
      <c r="G1141" s="8" t="s">
        <v>16</v>
      </c>
      <c r="H1141" s="8" t="s">
        <v>9</v>
      </c>
      <c r="I1141" s="8" t="s">
        <v>29</v>
      </c>
      <c r="J1141" s="8" t="s">
        <v>30</v>
      </c>
      <c r="K1141" s="9">
        <v>6</v>
      </c>
      <c r="L1141" s="9">
        <v>1080</v>
      </c>
      <c r="M1141" s="9">
        <f t="shared" si="17"/>
        <v>6480</v>
      </c>
    </row>
    <row r="1142" spans="6:13" x14ac:dyDescent="0.3">
      <c r="F1142" s="7">
        <v>44463</v>
      </c>
      <c r="G1142" s="8" t="s">
        <v>17</v>
      </c>
      <c r="H1142" s="8" t="s">
        <v>18</v>
      </c>
      <c r="I1142" s="8" t="s">
        <v>29</v>
      </c>
      <c r="J1142" s="8" t="s">
        <v>30</v>
      </c>
      <c r="K1142" s="9">
        <v>5</v>
      </c>
      <c r="L1142" s="9">
        <v>1575</v>
      </c>
      <c r="M1142" s="9">
        <f t="shared" si="17"/>
        <v>7875</v>
      </c>
    </row>
    <row r="1143" spans="6:13" x14ac:dyDescent="0.3">
      <c r="F1143" s="7">
        <v>44463</v>
      </c>
      <c r="G1143" s="8" t="s">
        <v>19</v>
      </c>
      <c r="H1143" s="8" t="s">
        <v>18</v>
      </c>
      <c r="I1143" s="8" t="s">
        <v>29</v>
      </c>
      <c r="J1143" s="8" t="s">
        <v>30</v>
      </c>
      <c r="K1143" s="9">
        <v>10</v>
      </c>
      <c r="L1143" s="9">
        <v>790</v>
      </c>
      <c r="M1143" s="9">
        <f t="shared" si="17"/>
        <v>7900</v>
      </c>
    </row>
    <row r="1144" spans="6:13" x14ac:dyDescent="0.3">
      <c r="F1144" s="7">
        <v>44470</v>
      </c>
      <c r="G1144" s="8" t="s">
        <v>8</v>
      </c>
      <c r="H1144" s="8" t="s">
        <v>9</v>
      </c>
      <c r="I1144" s="8" t="s">
        <v>14</v>
      </c>
      <c r="J1144" s="8" t="s">
        <v>11</v>
      </c>
      <c r="K1144" s="9">
        <v>5</v>
      </c>
      <c r="L1144" s="9">
        <v>2001</v>
      </c>
      <c r="M1144" s="9">
        <f t="shared" si="17"/>
        <v>10005</v>
      </c>
    </row>
    <row r="1145" spans="6:13" x14ac:dyDescent="0.3">
      <c r="F1145" s="7">
        <v>44470</v>
      </c>
      <c r="G1145" s="8" t="s">
        <v>12</v>
      </c>
      <c r="H1145" s="8" t="s">
        <v>13</v>
      </c>
      <c r="I1145" s="8" t="s">
        <v>14</v>
      </c>
      <c r="J1145" s="8" t="s">
        <v>11</v>
      </c>
      <c r="K1145" s="9">
        <v>34</v>
      </c>
      <c r="L1145" s="9">
        <v>75</v>
      </c>
      <c r="M1145" s="9">
        <f t="shared" si="17"/>
        <v>2550</v>
      </c>
    </row>
    <row r="1146" spans="6:13" x14ac:dyDescent="0.3">
      <c r="F1146" s="7">
        <v>44470</v>
      </c>
      <c r="G1146" s="8" t="s">
        <v>15</v>
      </c>
      <c r="H1146" s="8" t="s">
        <v>13</v>
      </c>
      <c r="I1146" s="8" t="s">
        <v>14</v>
      </c>
      <c r="J1146" s="8" t="s">
        <v>11</v>
      </c>
      <c r="K1146" s="9">
        <v>11</v>
      </c>
      <c r="L1146" s="9">
        <v>315</v>
      </c>
      <c r="M1146" s="9">
        <f t="shared" si="17"/>
        <v>3465</v>
      </c>
    </row>
    <row r="1147" spans="6:13" x14ac:dyDescent="0.3">
      <c r="F1147" s="7">
        <v>44470</v>
      </c>
      <c r="G1147" s="8" t="s">
        <v>16</v>
      </c>
      <c r="H1147" s="8" t="s">
        <v>9</v>
      </c>
      <c r="I1147" s="8" t="s">
        <v>14</v>
      </c>
      <c r="J1147" s="8" t="s">
        <v>11</v>
      </c>
      <c r="K1147" s="9">
        <v>3</v>
      </c>
      <c r="L1147" s="9">
        <v>1080</v>
      </c>
      <c r="M1147" s="9">
        <f t="shared" si="17"/>
        <v>3240</v>
      </c>
    </row>
    <row r="1148" spans="6:13" x14ac:dyDescent="0.3">
      <c r="F1148" s="7">
        <v>44470</v>
      </c>
      <c r="G1148" s="8" t="s">
        <v>17</v>
      </c>
      <c r="H1148" s="8" t="s">
        <v>18</v>
      </c>
      <c r="I1148" s="8" t="s">
        <v>10</v>
      </c>
      <c r="J1148" s="8" t="s">
        <v>11</v>
      </c>
      <c r="K1148" s="9">
        <v>6</v>
      </c>
      <c r="L1148" s="9">
        <v>1575</v>
      </c>
      <c r="M1148" s="9">
        <f t="shared" si="17"/>
        <v>9450</v>
      </c>
    </row>
    <row r="1149" spans="6:13" x14ac:dyDescent="0.3">
      <c r="F1149" s="7">
        <v>44470</v>
      </c>
      <c r="G1149" s="8" t="s">
        <v>19</v>
      </c>
      <c r="H1149" s="8" t="s">
        <v>18</v>
      </c>
      <c r="I1149" s="8" t="s">
        <v>10</v>
      </c>
      <c r="J1149" s="8" t="s">
        <v>11</v>
      </c>
      <c r="K1149" s="9">
        <v>9</v>
      </c>
      <c r="L1149" s="9">
        <v>790</v>
      </c>
      <c r="M1149" s="9">
        <f t="shared" si="17"/>
        <v>7110</v>
      </c>
    </row>
    <row r="1150" spans="6:13" x14ac:dyDescent="0.3">
      <c r="F1150" s="7">
        <v>44470</v>
      </c>
      <c r="G1150" s="8" t="s">
        <v>8</v>
      </c>
      <c r="H1150" s="8" t="s">
        <v>9</v>
      </c>
      <c r="I1150" s="8" t="s">
        <v>20</v>
      </c>
      <c r="J1150" s="8" t="s">
        <v>21</v>
      </c>
      <c r="K1150" s="9">
        <v>3</v>
      </c>
      <c r="L1150" s="9">
        <v>2001</v>
      </c>
      <c r="M1150" s="9">
        <f t="shared" si="17"/>
        <v>6003</v>
      </c>
    </row>
    <row r="1151" spans="6:13" x14ac:dyDescent="0.3">
      <c r="F1151" s="7">
        <v>44470</v>
      </c>
      <c r="G1151" s="8" t="s">
        <v>12</v>
      </c>
      <c r="H1151" s="8" t="s">
        <v>13</v>
      </c>
      <c r="I1151" s="8" t="s">
        <v>22</v>
      </c>
      <c r="J1151" s="8" t="s">
        <v>21</v>
      </c>
      <c r="K1151" s="9">
        <v>32</v>
      </c>
      <c r="L1151" s="9">
        <v>75</v>
      </c>
      <c r="M1151" s="9">
        <f t="shared" si="17"/>
        <v>2400</v>
      </c>
    </row>
    <row r="1152" spans="6:13" x14ac:dyDescent="0.3">
      <c r="F1152" s="7">
        <v>44470</v>
      </c>
      <c r="G1152" s="8" t="s">
        <v>15</v>
      </c>
      <c r="H1152" s="8" t="s">
        <v>13</v>
      </c>
      <c r="I1152" s="8" t="s">
        <v>22</v>
      </c>
      <c r="J1152" s="8" t="s">
        <v>21</v>
      </c>
      <c r="K1152" s="9">
        <v>14</v>
      </c>
      <c r="L1152" s="9">
        <v>315</v>
      </c>
      <c r="M1152" s="9">
        <f t="shared" si="17"/>
        <v>4410</v>
      </c>
    </row>
    <row r="1153" spans="6:13" x14ac:dyDescent="0.3">
      <c r="F1153" s="7">
        <v>44470</v>
      </c>
      <c r="G1153" s="8" t="s">
        <v>16</v>
      </c>
      <c r="H1153" s="8" t="s">
        <v>9</v>
      </c>
      <c r="I1153" s="8" t="s">
        <v>20</v>
      </c>
      <c r="J1153" s="8" t="s">
        <v>21</v>
      </c>
      <c r="K1153" s="9">
        <v>5</v>
      </c>
      <c r="L1153" s="9">
        <v>1080</v>
      </c>
      <c r="M1153" s="9">
        <f t="shared" si="17"/>
        <v>5400</v>
      </c>
    </row>
    <row r="1154" spans="6:13" x14ac:dyDescent="0.3">
      <c r="F1154" s="7">
        <v>44470</v>
      </c>
      <c r="G1154" s="8" t="s">
        <v>17</v>
      </c>
      <c r="H1154" s="8" t="s">
        <v>18</v>
      </c>
      <c r="I1154" s="8" t="s">
        <v>22</v>
      </c>
      <c r="J1154" s="8" t="s">
        <v>21</v>
      </c>
      <c r="K1154" s="9">
        <v>6</v>
      </c>
      <c r="L1154" s="9">
        <v>1575</v>
      </c>
      <c r="M1154" s="9">
        <f t="shared" si="17"/>
        <v>9450</v>
      </c>
    </row>
    <row r="1155" spans="6:13" x14ac:dyDescent="0.3">
      <c r="F1155" s="7">
        <v>44470</v>
      </c>
      <c r="G1155" s="8" t="s">
        <v>19</v>
      </c>
      <c r="H1155" s="8" t="s">
        <v>18</v>
      </c>
      <c r="I1155" s="8" t="s">
        <v>22</v>
      </c>
      <c r="J1155" s="8" t="s">
        <v>21</v>
      </c>
      <c r="K1155" s="9">
        <v>6</v>
      </c>
      <c r="L1155" s="9">
        <v>790</v>
      </c>
      <c r="M1155" s="9">
        <f t="shared" si="17"/>
        <v>4740</v>
      </c>
    </row>
    <row r="1156" spans="6:13" x14ac:dyDescent="0.3">
      <c r="F1156" s="7">
        <v>44470</v>
      </c>
      <c r="G1156" s="8" t="s">
        <v>8</v>
      </c>
      <c r="H1156" s="8" t="s">
        <v>9</v>
      </c>
      <c r="I1156" s="8" t="s">
        <v>23</v>
      </c>
      <c r="J1156" s="8" t="s">
        <v>24</v>
      </c>
      <c r="K1156" s="9">
        <v>4</v>
      </c>
      <c r="L1156" s="9">
        <v>2001</v>
      </c>
      <c r="M1156" s="9">
        <f t="shared" ref="M1156:M1219" si="18">K1156*L1156</f>
        <v>8004</v>
      </c>
    </row>
    <row r="1157" spans="6:13" x14ac:dyDescent="0.3">
      <c r="F1157" s="7">
        <v>44470</v>
      </c>
      <c r="G1157" s="8" t="s">
        <v>12</v>
      </c>
      <c r="H1157" s="8" t="s">
        <v>13</v>
      </c>
      <c r="I1157" s="8" t="s">
        <v>25</v>
      </c>
      <c r="J1157" s="8" t="s">
        <v>24</v>
      </c>
      <c r="K1157" s="9">
        <v>26</v>
      </c>
      <c r="L1157" s="9">
        <v>75</v>
      </c>
      <c r="M1157" s="9">
        <f t="shared" si="18"/>
        <v>1950</v>
      </c>
    </row>
    <row r="1158" spans="6:13" x14ac:dyDescent="0.3">
      <c r="F1158" s="7">
        <v>44470</v>
      </c>
      <c r="G1158" s="8" t="s">
        <v>15</v>
      </c>
      <c r="H1158" s="8" t="s">
        <v>13</v>
      </c>
      <c r="I1158" s="8" t="s">
        <v>25</v>
      </c>
      <c r="J1158" s="8" t="s">
        <v>24</v>
      </c>
      <c r="K1158" s="9">
        <v>11</v>
      </c>
      <c r="L1158" s="9">
        <v>315</v>
      </c>
      <c r="M1158" s="9">
        <f t="shared" si="18"/>
        <v>3465</v>
      </c>
    </row>
    <row r="1159" spans="6:13" x14ac:dyDescent="0.3">
      <c r="F1159" s="7">
        <v>44470</v>
      </c>
      <c r="G1159" s="8" t="s">
        <v>16</v>
      </c>
      <c r="H1159" s="8" t="s">
        <v>9</v>
      </c>
      <c r="I1159" s="8" t="s">
        <v>23</v>
      </c>
      <c r="J1159" s="8" t="s">
        <v>24</v>
      </c>
      <c r="K1159" s="9">
        <v>5</v>
      </c>
      <c r="L1159" s="9">
        <v>1080</v>
      </c>
      <c r="M1159" s="9">
        <f t="shared" si="18"/>
        <v>5400</v>
      </c>
    </row>
    <row r="1160" spans="6:13" x14ac:dyDescent="0.3">
      <c r="F1160" s="7">
        <v>44470</v>
      </c>
      <c r="G1160" s="8" t="s">
        <v>17</v>
      </c>
      <c r="H1160" s="8" t="s">
        <v>18</v>
      </c>
      <c r="I1160" s="8" t="s">
        <v>25</v>
      </c>
      <c r="J1160" s="8" t="s">
        <v>24</v>
      </c>
      <c r="K1160" s="9">
        <v>5</v>
      </c>
      <c r="L1160" s="9">
        <v>1575</v>
      </c>
      <c r="M1160" s="9">
        <f t="shared" si="18"/>
        <v>7875</v>
      </c>
    </row>
    <row r="1161" spans="6:13" x14ac:dyDescent="0.3">
      <c r="F1161" s="7">
        <v>44470</v>
      </c>
      <c r="G1161" s="8" t="s">
        <v>19</v>
      </c>
      <c r="H1161" s="8" t="s">
        <v>18</v>
      </c>
      <c r="I1161" s="8" t="s">
        <v>25</v>
      </c>
      <c r="J1161" s="8" t="s">
        <v>24</v>
      </c>
      <c r="K1161" s="9">
        <v>11</v>
      </c>
      <c r="L1161" s="9">
        <v>790</v>
      </c>
      <c r="M1161" s="9">
        <f t="shared" si="18"/>
        <v>8690</v>
      </c>
    </row>
    <row r="1162" spans="6:13" x14ac:dyDescent="0.3">
      <c r="F1162" s="7">
        <v>44470</v>
      </c>
      <c r="G1162" s="8" t="s">
        <v>8</v>
      </c>
      <c r="H1162" s="8" t="s">
        <v>9</v>
      </c>
      <c r="I1162" s="8" t="s">
        <v>26</v>
      </c>
      <c r="J1162" s="8" t="s">
        <v>27</v>
      </c>
      <c r="K1162" s="9">
        <v>6</v>
      </c>
      <c r="L1162" s="9">
        <v>2001</v>
      </c>
      <c r="M1162" s="9">
        <f t="shared" si="18"/>
        <v>12006</v>
      </c>
    </row>
    <row r="1163" spans="6:13" x14ac:dyDescent="0.3">
      <c r="F1163" s="7">
        <v>44470</v>
      </c>
      <c r="G1163" s="8" t="s">
        <v>12</v>
      </c>
      <c r="H1163" s="8" t="s">
        <v>13</v>
      </c>
      <c r="I1163" s="8" t="s">
        <v>28</v>
      </c>
      <c r="J1163" s="8" t="s">
        <v>27</v>
      </c>
      <c r="K1163" s="9">
        <v>33</v>
      </c>
      <c r="L1163" s="9">
        <v>75</v>
      </c>
      <c r="M1163" s="9">
        <f t="shared" si="18"/>
        <v>2475</v>
      </c>
    </row>
    <row r="1164" spans="6:13" x14ac:dyDescent="0.3">
      <c r="F1164" s="7">
        <v>44470</v>
      </c>
      <c r="G1164" s="8" t="s">
        <v>15</v>
      </c>
      <c r="H1164" s="8" t="s">
        <v>13</v>
      </c>
      <c r="I1164" s="8" t="s">
        <v>28</v>
      </c>
      <c r="J1164" s="8" t="s">
        <v>27</v>
      </c>
      <c r="K1164" s="9">
        <v>12</v>
      </c>
      <c r="L1164" s="9">
        <v>315</v>
      </c>
      <c r="M1164" s="9">
        <f t="shared" si="18"/>
        <v>3780</v>
      </c>
    </row>
    <row r="1165" spans="6:13" x14ac:dyDescent="0.3">
      <c r="F1165" s="7">
        <v>44470</v>
      </c>
      <c r="G1165" s="8" t="s">
        <v>16</v>
      </c>
      <c r="H1165" s="8" t="s">
        <v>9</v>
      </c>
      <c r="I1165" s="8" t="s">
        <v>26</v>
      </c>
      <c r="J1165" s="8" t="s">
        <v>27</v>
      </c>
      <c r="K1165" s="9">
        <v>2</v>
      </c>
      <c r="L1165" s="9">
        <v>1080</v>
      </c>
      <c r="M1165" s="9">
        <f t="shared" si="18"/>
        <v>2160</v>
      </c>
    </row>
    <row r="1166" spans="6:13" x14ac:dyDescent="0.3">
      <c r="F1166" s="7">
        <v>44470</v>
      </c>
      <c r="G1166" s="8" t="s">
        <v>17</v>
      </c>
      <c r="H1166" s="8" t="s">
        <v>18</v>
      </c>
      <c r="I1166" s="8" t="s">
        <v>28</v>
      </c>
      <c r="J1166" s="8" t="s">
        <v>27</v>
      </c>
      <c r="K1166" s="9">
        <v>4</v>
      </c>
      <c r="L1166" s="9">
        <v>1575</v>
      </c>
      <c r="M1166" s="9">
        <f t="shared" si="18"/>
        <v>6300</v>
      </c>
    </row>
    <row r="1167" spans="6:13" x14ac:dyDescent="0.3">
      <c r="F1167" s="7">
        <v>44470</v>
      </c>
      <c r="G1167" s="8" t="s">
        <v>19</v>
      </c>
      <c r="H1167" s="8" t="s">
        <v>18</v>
      </c>
      <c r="I1167" s="8" t="s">
        <v>28</v>
      </c>
      <c r="J1167" s="8" t="s">
        <v>27</v>
      </c>
      <c r="K1167" s="9">
        <v>6</v>
      </c>
      <c r="L1167" s="9">
        <v>790</v>
      </c>
      <c r="M1167" s="9">
        <f t="shared" si="18"/>
        <v>4740</v>
      </c>
    </row>
    <row r="1168" spans="6:13" x14ac:dyDescent="0.3">
      <c r="F1168" s="7">
        <v>44470</v>
      </c>
      <c r="G1168" s="8" t="s">
        <v>8</v>
      </c>
      <c r="H1168" s="8" t="s">
        <v>9</v>
      </c>
      <c r="I1168" s="8" t="s">
        <v>29</v>
      </c>
      <c r="J1168" s="8" t="s">
        <v>30</v>
      </c>
      <c r="K1168" s="9">
        <v>5</v>
      </c>
      <c r="L1168" s="9">
        <v>2001</v>
      </c>
      <c r="M1168" s="9">
        <f t="shared" si="18"/>
        <v>10005</v>
      </c>
    </row>
    <row r="1169" spans="6:13" x14ac:dyDescent="0.3">
      <c r="F1169" s="7">
        <v>44470</v>
      </c>
      <c r="G1169" s="8" t="s">
        <v>12</v>
      </c>
      <c r="H1169" s="8" t="s">
        <v>13</v>
      </c>
      <c r="I1169" s="8" t="s">
        <v>31</v>
      </c>
      <c r="J1169" s="8" t="s">
        <v>30</v>
      </c>
      <c r="K1169" s="9">
        <v>44</v>
      </c>
      <c r="L1169" s="9">
        <v>75</v>
      </c>
      <c r="M1169" s="9">
        <f t="shared" si="18"/>
        <v>3300</v>
      </c>
    </row>
    <row r="1170" spans="6:13" x14ac:dyDescent="0.3">
      <c r="F1170" s="7">
        <v>44470</v>
      </c>
      <c r="G1170" s="8" t="s">
        <v>15</v>
      </c>
      <c r="H1170" s="8" t="s">
        <v>13</v>
      </c>
      <c r="I1170" s="8" t="s">
        <v>31</v>
      </c>
      <c r="J1170" s="8" t="s">
        <v>30</v>
      </c>
      <c r="K1170" s="9">
        <v>13</v>
      </c>
      <c r="L1170" s="9">
        <v>315</v>
      </c>
      <c r="M1170" s="9">
        <f t="shared" si="18"/>
        <v>4095</v>
      </c>
    </row>
    <row r="1171" spans="6:13" x14ac:dyDescent="0.3">
      <c r="F1171" s="7">
        <v>44470</v>
      </c>
      <c r="G1171" s="8" t="s">
        <v>16</v>
      </c>
      <c r="H1171" s="8" t="s">
        <v>9</v>
      </c>
      <c r="I1171" s="8" t="s">
        <v>29</v>
      </c>
      <c r="J1171" s="8" t="s">
        <v>30</v>
      </c>
      <c r="K1171" s="9">
        <v>3</v>
      </c>
      <c r="L1171" s="9">
        <v>1080</v>
      </c>
      <c r="M1171" s="9">
        <f t="shared" si="18"/>
        <v>3240</v>
      </c>
    </row>
    <row r="1172" spans="6:13" x14ac:dyDescent="0.3">
      <c r="F1172" s="7">
        <v>44470</v>
      </c>
      <c r="G1172" s="8" t="s">
        <v>17</v>
      </c>
      <c r="H1172" s="8" t="s">
        <v>18</v>
      </c>
      <c r="I1172" s="8" t="s">
        <v>29</v>
      </c>
      <c r="J1172" s="8" t="s">
        <v>30</v>
      </c>
      <c r="K1172" s="9">
        <v>3</v>
      </c>
      <c r="L1172" s="9">
        <v>1575</v>
      </c>
      <c r="M1172" s="9">
        <f t="shared" si="18"/>
        <v>4725</v>
      </c>
    </row>
    <row r="1173" spans="6:13" x14ac:dyDescent="0.3">
      <c r="F1173" s="7">
        <v>44470</v>
      </c>
      <c r="G1173" s="8" t="s">
        <v>19</v>
      </c>
      <c r="H1173" s="8" t="s">
        <v>18</v>
      </c>
      <c r="I1173" s="8" t="s">
        <v>29</v>
      </c>
      <c r="J1173" s="8" t="s">
        <v>30</v>
      </c>
      <c r="K1173" s="9">
        <v>7</v>
      </c>
      <c r="L1173" s="9">
        <v>790</v>
      </c>
      <c r="M1173" s="9">
        <f t="shared" si="18"/>
        <v>5530</v>
      </c>
    </row>
    <row r="1174" spans="6:13" x14ac:dyDescent="0.3">
      <c r="F1174" s="7">
        <v>44477</v>
      </c>
      <c r="G1174" s="8" t="s">
        <v>8</v>
      </c>
      <c r="H1174" s="8" t="s">
        <v>9</v>
      </c>
      <c r="I1174" s="8" t="s">
        <v>14</v>
      </c>
      <c r="J1174" s="8" t="s">
        <v>11</v>
      </c>
      <c r="K1174" s="9">
        <v>6</v>
      </c>
      <c r="L1174" s="9">
        <v>2001</v>
      </c>
      <c r="M1174" s="9">
        <f t="shared" si="18"/>
        <v>12006</v>
      </c>
    </row>
    <row r="1175" spans="6:13" x14ac:dyDescent="0.3">
      <c r="F1175" s="7">
        <v>44477</v>
      </c>
      <c r="G1175" s="8" t="s">
        <v>12</v>
      </c>
      <c r="H1175" s="8" t="s">
        <v>13</v>
      </c>
      <c r="I1175" s="8" t="s">
        <v>14</v>
      </c>
      <c r="J1175" s="8" t="s">
        <v>11</v>
      </c>
      <c r="K1175" s="9">
        <v>43</v>
      </c>
      <c r="L1175" s="9">
        <v>75</v>
      </c>
      <c r="M1175" s="9">
        <f t="shared" si="18"/>
        <v>3225</v>
      </c>
    </row>
    <row r="1176" spans="6:13" x14ac:dyDescent="0.3">
      <c r="F1176" s="7">
        <v>44477</v>
      </c>
      <c r="G1176" s="8" t="s">
        <v>15</v>
      </c>
      <c r="H1176" s="8" t="s">
        <v>13</v>
      </c>
      <c r="I1176" s="8" t="s">
        <v>14</v>
      </c>
      <c r="J1176" s="8" t="s">
        <v>11</v>
      </c>
      <c r="K1176" s="9">
        <v>5</v>
      </c>
      <c r="L1176" s="9">
        <v>315</v>
      </c>
      <c r="M1176" s="9">
        <f t="shared" si="18"/>
        <v>1575</v>
      </c>
    </row>
    <row r="1177" spans="6:13" x14ac:dyDescent="0.3">
      <c r="F1177" s="7">
        <v>44477</v>
      </c>
      <c r="G1177" s="8" t="s">
        <v>16</v>
      </c>
      <c r="H1177" s="8" t="s">
        <v>9</v>
      </c>
      <c r="I1177" s="8" t="s">
        <v>14</v>
      </c>
      <c r="J1177" s="8" t="s">
        <v>11</v>
      </c>
      <c r="K1177" s="9">
        <v>3</v>
      </c>
      <c r="L1177" s="9">
        <v>1080</v>
      </c>
      <c r="M1177" s="9">
        <f t="shared" si="18"/>
        <v>3240</v>
      </c>
    </row>
    <row r="1178" spans="6:13" x14ac:dyDescent="0.3">
      <c r="F1178" s="7">
        <v>44477</v>
      </c>
      <c r="G1178" s="8" t="s">
        <v>17</v>
      </c>
      <c r="H1178" s="8" t="s">
        <v>18</v>
      </c>
      <c r="I1178" s="8" t="s">
        <v>10</v>
      </c>
      <c r="J1178" s="8" t="s">
        <v>11</v>
      </c>
      <c r="K1178" s="9">
        <v>2</v>
      </c>
      <c r="L1178" s="9">
        <v>1575</v>
      </c>
      <c r="M1178" s="9">
        <f t="shared" si="18"/>
        <v>3150</v>
      </c>
    </row>
    <row r="1179" spans="6:13" x14ac:dyDescent="0.3">
      <c r="F1179" s="7">
        <v>44477</v>
      </c>
      <c r="G1179" s="8" t="s">
        <v>19</v>
      </c>
      <c r="H1179" s="8" t="s">
        <v>18</v>
      </c>
      <c r="I1179" s="8" t="s">
        <v>10</v>
      </c>
      <c r="J1179" s="8" t="s">
        <v>11</v>
      </c>
      <c r="K1179" s="9">
        <v>8</v>
      </c>
      <c r="L1179" s="9">
        <v>790</v>
      </c>
      <c r="M1179" s="9">
        <f t="shared" si="18"/>
        <v>6320</v>
      </c>
    </row>
    <row r="1180" spans="6:13" x14ac:dyDescent="0.3">
      <c r="F1180" s="7">
        <v>44477</v>
      </c>
      <c r="G1180" s="8" t="s">
        <v>8</v>
      </c>
      <c r="H1180" s="8" t="s">
        <v>9</v>
      </c>
      <c r="I1180" s="8" t="s">
        <v>20</v>
      </c>
      <c r="J1180" s="8" t="s">
        <v>21</v>
      </c>
      <c r="K1180" s="9">
        <v>6</v>
      </c>
      <c r="L1180" s="9">
        <v>2001</v>
      </c>
      <c r="M1180" s="9">
        <f t="shared" si="18"/>
        <v>12006</v>
      </c>
    </row>
    <row r="1181" spans="6:13" x14ac:dyDescent="0.3">
      <c r="F1181" s="7">
        <v>44477</v>
      </c>
      <c r="G1181" s="8" t="s">
        <v>12</v>
      </c>
      <c r="H1181" s="8" t="s">
        <v>13</v>
      </c>
      <c r="I1181" s="8" t="s">
        <v>22</v>
      </c>
      <c r="J1181" s="8" t="s">
        <v>21</v>
      </c>
      <c r="K1181" s="9">
        <v>53</v>
      </c>
      <c r="L1181" s="9">
        <v>75</v>
      </c>
      <c r="M1181" s="9">
        <f t="shared" si="18"/>
        <v>3975</v>
      </c>
    </row>
    <row r="1182" spans="6:13" x14ac:dyDescent="0.3">
      <c r="F1182" s="7">
        <v>44477</v>
      </c>
      <c r="G1182" s="8" t="s">
        <v>15</v>
      </c>
      <c r="H1182" s="8" t="s">
        <v>13</v>
      </c>
      <c r="I1182" s="8" t="s">
        <v>22</v>
      </c>
      <c r="J1182" s="8" t="s">
        <v>21</v>
      </c>
      <c r="K1182" s="9">
        <v>10</v>
      </c>
      <c r="L1182" s="9">
        <v>315</v>
      </c>
      <c r="M1182" s="9">
        <f t="shared" si="18"/>
        <v>3150</v>
      </c>
    </row>
    <row r="1183" spans="6:13" x14ac:dyDescent="0.3">
      <c r="F1183" s="7">
        <v>44477</v>
      </c>
      <c r="G1183" s="8" t="s">
        <v>16</v>
      </c>
      <c r="H1183" s="8" t="s">
        <v>9</v>
      </c>
      <c r="I1183" s="8" t="s">
        <v>20</v>
      </c>
      <c r="J1183" s="8" t="s">
        <v>21</v>
      </c>
      <c r="K1183" s="9">
        <v>6</v>
      </c>
      <c r="L1183" s="9">
        <v>1080</v>
      </c>
      <c r="M1183" s="9">
        <f t="shared" si="18"/>
        <v>6480</v>
      </c>
    </row>
    <row r="1184" spans="6:13" x14ac:dyDescent="0.3">
      <c r="F1184" s="7">
        <v>44477</v>
      </c>
      <c r="G1184" s="8" t="s">
        <v>17</v>
      </c>
      <c r="H1184" s="8" t="s">
        <v>18</v>
      </c>
      <c r="I1184" s="8" t="s">
        <v>22</v>
      </c>
      <c r="J1184" s="8" t="s">
        <v>21</v>
      </c>
      <c r="K1184" s="9">
        <v>4</v>
      </c>
      <c r="L1184" s="9">
        <v>1575</v>
      </c>
      <c r="M1184" s="9">
        <f t="shared" si="18"/>
        <v>6300</v>
      </c>
    </row>
    <row r="1185" spans="6:13" x14ac:dyDescent="0.3">
      <c r="F1185" s="7">
        <v>44477</v>
      </c>
      <c r="G1185" s="8" t="s">
        <v>19</v>
      </c>
      <c r="H1185" s="8" t="s">
        <v>18</v>
      </c>
      <c r="I1185" s="8" t="s">
        <v>22</v>
      </c>
      <c r="J1185" s="8" t="s">
        <v>21</v>
      </c>
      <c r="K1185" s="9">
        <v>7</v>
      </c>
      <c r="L1185" s="9">
        <v>790</v>
      </c>
      <c r="M1185" s="9">
        <f t="shared" si="18"/>
        <v>5530</v>
      </c>
    </row>
    <row r="1186" spans="6:13" x14ac:dyDescent="0.3">
      <c r="F1186" s="7">
        <v>44477</v>
      </c>
      <c r="G1186" s="8" t="s">
        <v>8</v>
      </c>
      <c r="H1186" s="8" t="s">
        <v>9</v>
      </c>
      <c r="I1186" s="8" t="s">
        <v>23</v>
      </c>
      <c r="J1186" s="8" t="s">
        <v>24</v>
      </c>
      <c r="K1186" s="9">
        <v>6</v>
      </c>
      <c r="L1186" s="9">
        <v>2001</v>
      </c>
      <c r="M1186" s="9">
        <f t="shared" si="18"/>
        <v>12006</v>
      </c>
    </row>
    <row r="1187" spans="6:13" x14ac:dyDescent="0.3">
      <c r="F1187" s="7">
        <v>44477</v>
      </c>
      <c r="G1187" s="8" t="s">
        <v>12</v>
      </c>
      <c r="H1187" s="8" t="s">
        <v>13</v>
      </c>
      <c r="I1187" s="8" t="s">
        <v>25</v>
      </c>
      <c r="J1187" s="8" t="s">
        <v>24</v>
      </c>
      <c r="K1187" s="9">
        <v>35</v>
      </c>
      <c r="L1187" s="9">
        <v>75</v>
      </c>
      <c r="M1187" s="9">
        <f t="shared" si="18"/>
        <v>2625</v>
      </c>
    </row>
    <row r="1188" spans="6:13" x14ac:dyDescent="0.3">
      <c r="F1188" s="7">
        <v>44477</v>
      </c>
      <c r="G1188" s="8" t="s">
        <v>15</v>
      </c>
      <c r="H1188" s="8" t="s">
        <v>13</v>
      </c>
      <c r="I1188" s="8" t="s">
        <v>25</v>
      </c>
      <c r="J1188" s="8" t="s">
        <v>24</v>
      </c>
      <c r="K1188" s="9">
        <v>8</v>
      </c>
      <c r="L1188" s="9">
        <v>315</v>
      </c>
      <c r="M1188" s="9">
        <f t="shared" si="18"/>
        <v>2520</v>
      </c>
    </row>
    <row r="1189" spans="6:13" x14ac:dyDescent="0.3">
      <c r="F1189" s="7">
        <v>44477</v>
      </c>
      <c r="G1189" s="8" t="s">
        <v>16</v>
      </c>
      <c r="H1189" s="8" t="s">
        <v>9</v>
      </c>
      <c r="I1189" s="8" t="s">
        <v>23</v>
      </c>
      <c r="J1189" s="8" t="s">
        <v>24</v>
      </c>
      <c r="K1189" s="9">
        <v>4</v>
      </c>
      <c r="L1189" s="9">
        <v>1080</v>
      </c>
      <c r="M1189" s="9">
        <f t="shared" si="18"/>
        <v>4320</v>
      </c>
    </row>
    <row r="1190" spans="6:13" x14ac:dyDescent="0.3">
      <c r="F1190" s="7">
        <v>44477</v>
      </c>
      <c r="G1190" s="8" t="s">
        <v>17</v>
      </c>
      <c r="H1190" s="8" t="s">
        <v>18</v>
      </c>
      <c r="I1190" s="8" t="s">
        <v>25</v>
      </c>
      <c r="J1190" s="8" t="s">
        <v>24</v>
      </c>
      <c r="K1190" s="9">
        <v>6</v>
      </c>
      <c r="L1190" s="9">
        <v>1575</v>
      </c>
      <c r="M1190" s="9">
        <f t="shared" si="18"/>
        <v>9450</v>
      </c>
    </row>
    <row r="1191" spans="6:13" x14ac:dyDescent="0.3">
      <c r="F1191" s="7">
        <v>44477</v>
      </c>
      <c r="G1191" s="8" t="s">
        <v>19</v>
      </c>
      <c r="H1191" s="8" t="s">
        <v>18</v>
      </c>
      <c r="I1191" s="8" t="s">
        <v>25</v>
      </c>
      <c r="J1191" s="8" t="s">
        <v>24</v>
      </c>
      <c r="K1191" s="9">
        <v>8</v>
      </c>
      <c r="L1191" s="9">
        <v>790</v>
      </c>
      <c r="M1191" s="9">
        <f t="shared" si="18"/>
        <v>6320</v>
      </c>
    </row>
    <row r="1192" spans="6:13" x14ac:dyDescent="0.3">
      <c r="F1192" s="7">
        <v>44477</v>
      </c>
      <c r="G1192" s="8" t="s">
        <v>8</v>
      </c>
      <c r="H1192" s="8" t="s">
        <v>9</v>
      </c>
      <c r="I1192" s="8" t="s">
        <v>26</v>
      </c>
      <c r="J1192" s="8" t="s">
        <v>27</v>
      </c>
      <c r="K1192" s="9">
        <v>6</v>
      </c>
      <c r="L1192" s="9">
        <v>2001</v>
      </c>
      <c r="M1192" s="9">
        <f t="shared" si="18"/>
        <v>12006</v>
      </c>
    </row>
    <row r="1193" spans="6:13" x14ac:dyDescent="0.3">
      <c r="F1193" s="7">
        <v>44477</v>
      </c>
      <c r="G1193" s="8" t="s">
        <v>12</v>
      </c>
      <c r="H1193" s="8" t="s">
        <v>13</v>
      </c>
      <c r="I1193" s="8" t="s">
        <v>28</v>
      </c>
      <c r="J1193" s="8" t="s">
        <v>27</v>
      </c>
      <c r="K1193" s="9">
        <v>52</v>
      </c>
      <c r="L1193" s="9">
        <v>75</v>
      </c>
      <c r="M1193" s="9">
        <f t="shared" si="18"/>
        <v>3900</v>
      </c>
    </row>
    <row r="1194" spans="6:13" x14ac:dyDescent="0.3">
      <c r="F1194" s="7">
        <v>44477</v>
      </c>
      <c r="G1194" s="8" t="s">
        <v>15</v>
      </c>
      <c r="H1194" s="8" t="s">
        <v>13</v>
      </c>
      <c r="I1194" s="8" t="s">
        <v>28</v>
      </c>
      <c r="J1194" s="8" t="s">
        <v>27</v>
      </c>
      <c r="K1194" s="9">
        <v>14</v>
      </c>
      <c r="L1194" s="9">
        <v>315</v>
      </c>
      <c r="M1194" s="9">
        <f t="shared" si="18"/>
        <v>4410</v>
      </c>
    </row>
    <row r="1195" spans="6:13" x14ac:dyDescent="0.3">
      <c r="F1195" s="7">
        <v>44477</v>
      </c>
      <c r="G1195" s="8" t="s">
        <v>16</v>
      </c>
      <c r="H1195" s="8" t="s">
        <v>9</v>
      </c>
      <c r="I1195" s="8" t="s">
        <v>26</v>
      </c>
      <c r="J1195" s="8" t="s">
        <v>27</v>
      </c>
      <c r="K1195" s="9">
        <v>6</v>
      </c>
      <c r="L1195" s="9">
        <v>1080</v>
      </c>
      <c r="M1195" s="9">
        <f t="shared" si="18"/>
        <v>6480</v>
      </c>
    </row>
    <row r="1196" spans="6:13" x14ac:dyDescent="0.3">
      <c r="F1196" s="7">
        <v>44477</v>
      </c>
      <c r="G1196" s="8" t="s">
        <v>17</v>
      </c>
      <c r="H1196" s="8" t="s">
        <v>18</v>
      </c>
      <c r="I1196" s="8" t="s">
        <v>28</v>
      </c>
      <c r="J1196" s="8" t="s">
        <v>27</v>
      </c>
      <c r="K1196" s="9">
        <v>5</v>
      </c>
      <c r="L1196" s="9">
        <v>1575</v>
      </c>
      <c r="M1196" s="9">
        <f t="shared" si="18"/>
        <v>7875</v>
      </c>
    </row>
    <row r="1197" spans="6:13" x14ac:dyDescent="0.3">
      <c r="F1197" s="7">
        <v>44477</v>
      </c>
      <c r="G1197" s="8" t="s">
        <v>19</v>
      </c>
      <c r="H1197" s="8" t="s">
        <v>18</v>
      </c>
      <c r="I1197" s="8" t="s">
        <v>28</v>
      </c>
      <c r="J1197" s="8" t="s">
        <v>27</v>
      </c>
      <c r="K1197" s="9">
        <v>9</v>
      </c>
      <c r="L1197" s="9">
        <v>790</v>
      </c>
      <c r="M1197" s="9">
        <f t="shared" si="18"/>
        <v>7110</v>
      </c>
    </row>
    <row r="1198" spans="6:13" x14ac:dyDescent="0.3">
      <c r="F1198" s="7">
        <v>44477</v>
      </c>
      <c r="G1198" s="8" t="s">
        <v>8</v>
      </c>
      <c r="H1198" s="8" t="s">
        <v>9</v>
      </c>
      <c r="I1198" s="8" t="s">
        <v>29</v>
      </c>
      <c r="J1198" s="8" t="s">
        <v>30</v>
      </c>
      <c r="K1198" s="9">
        <v>6</v>
      </c>
      <c r="L1198" s="9">
        <v>2001</v>
      </c>
      <c r="M1198" s="9">
        <f t="shared" si="18"/>
        <v>12006</v>
      </c>
    </row>
    <row r="1199" spans="6:13" x14ac:dyDescent="0.3">
      <c r="F1199" s="7">
        <v>44477</v>
      </c>
      <c r="G1199" s="8" t="s">
        <v>12</v>
      </c>
      <c r="H1199" s="8" t="s">
        <v>13</v>
      </c>
      <c r="I1199" s="8" t="s">
        <v>31</v>
      </c>
      <c r="J1199" s="8" t="s">
        <v>30</v>
      </c>
      <c r="K1199" s="9">
        <v>58</v>
      </c>
      <c r="L1199" s="9">
        <v>75</v>
      </c>
      <c r="M1199" s="9">
        <f t="shared" si="18"/>
        <v>4350</v>
      </c>
    </row>
    <row r="1200" spans="6:13" x14ac:dyDescent="0.3">
      <c r="F1200" s="7">
        <v>44477</v>
      </c>
      <c r="G1200" s="8" t="s">
        <v>15</v>
      </c>
      <c r="H1200" s="8" t="s">
        <v>13</v>
      </c>
      <c r="I1200" s="8" t="s">
        <v>31</v>
      </c>
      <c r="J1200" s="8" t="s">
        <v>30</v>
      </c>
      <c r="K1200" s="9">
        <v>8</v>
      </c>
      <c r="L1200" s="9">
        <v>315</v>
      </c>
      <c r="M1200" s="9">
        <f t="shared" si="18"/>
        <v>2520</v>
      </c>
    </row>
    <row r="1201" spans="6:13" x14ac:dyDescent="0.3">
      <c r="F1201" s="7">
        <v>44477</v>
      </c>
      <c r="G1201" s="8" t="s">
        <v>16</v>
      </c>
      <c r="H1201" s="8" t="s">
        <v>9</v>
      </c>
      <c r="I1201" s="8" t="s">
        <v>29</v>
      </c>
      <c r="J1201" s="8" t="s">
        <v>30</v>
      </c>
      <c r="K1201" s="9">
        <v>4</v>
      </c>
      <c r="L1201" s="9">
        <v>1080</v>
      </c>
      <c r="M1201" s="9">
        <f t="shared" si="18"/>
        <v>4320</v>
      </c>
    </row>
    <row r="1202" spans="6:13" x14ac:dyDescent="0.3">
      <c r="F1202" s="7">
        <v>44477</v>
      </c>
      <c r="G1202" s="8" t="s">
        <v>17</v>
      </c>
      <c r="H1202" s="8" t="s">
        <v>18</v>
      </c>
      <c r="I1202" s="8" t="s">
        <v>29</v>
      </c>
      <c r="J1202" s="8" t="s">
        <v>30</v>
      </c>
      <c r="K1202" s="9">
        <v>5</v>
      </c>
      <c r="L1202" s="9">
        <v>1575</v>
      </c>
      <c r="M1202" s="9">
        <f t="shared" si="18"/>
        <v>7875</v>
      </c>
    </row>
    <row r="1203" spans="6:13" x14ac:dyDescent="0.3">
      <c r="F1203" s="7">
        <v>44477</v>
      </c>
      <c r="G1203" s="8" t="s">
        <v>19</v>
      </c>
      <c r="H1203" s="8" t="s">
        <v>18</v>
      </c>
      <c r="I1203" s="8" t="s">
        <v>29</v>
      </c>
      <c r="J1203" s="8" t="s">
        <v>30</v>
      </c>
      <c r="K1203" s="9">
        <v>7</v>
      </c>
      <c r="L1203" s="9">
        <v>790</v>
      </c>
      <c r="M1203" s="9">
        <f t="shared" si="18"/>
        <v>5530</v>
      </c>
    </row>
    <row r="1204" spans="6:13" x14ac:dyDescent="0.3">
      <c r="F1204" s="7">
        <v>44484</v>
      </c>
      <c r="G1204" s="8" t="s">
        <v>8</v>
      </c>
      <c r="H1204" s="8" t="s">
        <v>9</v>
      </c>
      <c r="I1204" s="8" t="s">
        <v>14</v>
      </c>
      <c r="J1204" s="8" t="s">
        <v>11</v>
      </c>
      <c r="K1204" s="9">
        <v>5</v>
      </c>
      <c r="L1204" s="9">
        <v>2001</v>
      </c>
      <c r="M1204" s="9">
        <f t="shared" si="18"/>
        <v>10005</v>
      </c>
    </row>
    <row r="1205" spans="6:13" x14ac:dyDescent="0.3">
      <c r="F1205" s="7">
        <v>44484</v>
      </c>
      <c r="G1205" s="8" t="s">
        <v>12</v>
      </c>
      <c r="H1205" s="8" t="s">
        <v>13</v>
      </c>
      <c r="I1205" s="8" t="s">
        <v>14</v>
      </c>
      <c r="J1205" s="8" t="s">
        <v>11</v>
      </c>
      <c r="K1205" s="9">
        <v>36</v>
      </c>
      <c r="L1205" s="9">
        <v>75</v>
      </c>
      <c r="M1205" s="9">
        <f t="shared" si="18"/>
        <v>2700</v>
      </c>
    </row>
    <row r="1206" spans="6:13" x14ac:dyDescent="0.3">
      <c r="F1206" s="7">
        <v>44484</v>
      </c>
      <c r="G1206" s="8" t="s">
        <v>15</v>
      </c>
      <c r="H1206" s="8" t="s">
        <v>13</v>
      </c>
      <c r="I1206" s="8" t="s">
        <v>14</v>
      </c>
      <c r="J1206" s="8" t="s">
        <v>11</v>
      </c>
      <c r="K1206" s="9">
        <v>12</v>
      </c>
      <c r="L1206" s="9">
        <v>315</v>
      </c>
      <c r="M1206" s="9">
        <f t="shared" si="18"/>
        <v>3780</v>
      </c>
    </row>
    <row r="1207" spans="6:13" x14ac:dyDescent="0.3">
      <c r="F1207" s="7">
        <v>44484</v>
      </c>
      <c r="G1207" s="8" t="s">
        <v>16</v>
      </c>
      <c r="H1207" s="8" t="s">
        <v>9</v>
      </c>
      <c r="I1207" s="8" t="s">
        <v>14</v>
      </c>
      <c r="J1207" s="8" t="s">
        <v>11</v>
      </c>
      <c r="K1207" s="9">
        <v>4</v>
      </c>
      <c r="L1207" s="9">
        <v>1080</v>
      </c>
      <c r="M1207" s="9">
        <f t="shared" si="18"/>
        <v>4320</v>
      </c>
    </row>
    <row r="1208" spans="6:13" x14ac:dyDescent="0.3">
      <c r="F1208" s="7">
        <v>44484</v>
      </c>
      <c r="G1208" s="8" t="s">
        <v>17</v>
      </c>
      <c r="H1208" s="8" t="s">
        <v>18</v>
      </c>
      <c r="I1208" s="8" t="s">
        <v>10</v>
      </c>
      <c r="J1208" s="8" t="s">
        <v>11</v>
      </c>
      <c r="K1208" s="9">
        <v>3</v>
      </c>
      <c r="L1208" s="9">
        <v>1575</v>
      </c>
      <c r="M1208" s="9">
        <f t="shared" si="18"/>
        <v>4725</v>
      </c>
    </row>
    <row r="1209" spans="6:13" x14ac:dyDescent="0.3">
      <c r="F1209" s="7">
        <v>44484</v>
      </c>
      <c r="G1209" s="8" t="s">
        <v>19</v>
      </c>
      <c r="H1209" s="8" t="s">
        <v>18</v>
      </c>
      <c r="I1209" s="8" t="s">
        <v>10</v>
      </c>
      <c r="J1209" s="8" t="s">
        <v>11</v>
      </c>
      <c r="K1209" s="9">
        <v>9</v>
      </c>
      <c r="L1209" s="9">
        <v>790</v>
      </c>
      <c r="M1209" s="9">
        <f t="shared" si="18"/>
        <v>7110</v>
      </c>
    </row>
    <row r="1210" spans="6:13" x14ac:dyDescent="0.3">
      <c r="F1210" s="7">
        <v>44484</v>
      </c>
      <c r="G1210" s="8" t="s">
        <v>8</v>
      </c>
      <c r="H1210" s="8" t="s">
        <v>9</v>
      </c>
      <c r="I1210" s="8" t="s">
        <v>20</v>
      </c>
      <c r="J1210" s="8" t="s">
        <v>21</v>
      </c>
      <c r="K1210" s="9">
        <v>5</v>
      </c>
      <c r="L1210" s="9">
        <v>2001</v>
      </c>
      <c r="M1210" s="9">
        <f t="shared" si="18"/>
        <v>10005</v>
      </c>
    </row>
    <row r="1211" spans="6:13" x14ac:dyDescent="0.3">
      <c r="F1211" s="7">
        <v>44484</v>
      </c>
      <c r="G1211" s="8" t="s">
        <v>12</v>
      </c>
      <c r="H1211" s="8" t="s">
        <v>13</v>
      </c>
      <c r="I1211" s="8" t="s">
        <v>22</v>
      </c>
      <c r="J1211" s="8" t="s">
        <v>21</v>
      </c>
      <c r="K1211" s="9">
        <v>33</v>
      </c>
      <c r="L1211" s="9">
        <v>75</v>
      </c>
      <c r="M1211" s="9">
        <f t="shared" si="18"/>
        <v>2475</v>
      </c>
    </row>
    <row r="1212" spans="6:13" x14ac:dyDescent="0.3">
      <c r="F1212" s="7">
        <v>44484</v>
      </c>
      <c r="G1212" s="8" t="s">
        <v>15</v>
      </c>
      <c r="H1212" s="8" t="s">
        <v>13</v>
      </c>
      <c r="I1212" s="8" t="s">
        <v>22</v>
      </c>
      <c r="J1212" s="8" t="s">
        <v>21</v>
      </c>
      <c r="K1212" s="9">
        <v>10</v>
      </c>
      <c r="L1212" s="9">
        <v>315</v>
      </c>
      <c r="M1212" s="9">
        <f t="shared" si="18"/>
        <v>3150</v>
      </c>
    </row>
    <row r="1213" spans="6:13" x14ac:dyDescent="0.3">
      <c r="F1213" s="7">
        <v>44484</v>
      </c>
      <c r="G1213" s="8" t="s">
        <v>16</v>
      </c>
      <c r="H1213" s="8" t="s">
        <v>9</v>
      </c>
      <c r="I1213" s="8" t="s">
        <v>20</v>
      </c>
      <c r="J1213" s="8" t="s">
        <v>21</v>
      </c>
      <c r="K1213" s="9">
        <v>3</v>
      </c>
      <c r="L1213" s="9">
        <v>1080</v>
      </c>
      <c r="M1213" s="9">
        <f t="shared" si="18"/>
        <v>3240</v>
      </c>
    </row>
    <row r="1214" spans="6:13" x14ac:dyDescent="0.3">
      <c r="F1214" s="7">
        <v>44484</v>
      </c>
      <c r="G1214" s="8" t="s">
        <v>17</v>
      </c>
      <c r="H1214" s="8" t="s">
        <v>18</v>
      </c>
      <c r="I1214" s="8" t="s">
        <v>22</v>
      </c>
      <c r="J1214" s="8" t="s">
        <v>21</v>
      </c>
      <c r="K1214" s="9">
        <v>3</v>
      </c>
      <c r="L1214" s="9">
        <v>1575</v>
      </c>
      <c r="M1214" s="9">
        <f t="shared" si="18"/>
        <v>4725</v>
      </c>
    </row>
    <row r="1215" spans="6:13" x14ac:dyDescent="0.3">
      <c r="F1215" s="7">
        <v>44484</v>
      </c>
      <c r="G1215" s="8" t="s">
        <v>19</v>
      </c>
      <c r="H1215" s="8" t="s">
        <v>18</v>
      </c>
      <c r="I1215" s="8" t="s">
        <v>22</v>
      </c>
      <c r="J1215" s="8" t="s">
        <v>21</v>
      </c>
      <c r="K1215" s="9">
        <v>9</v>
      </c>
      <c r="L1215" s="9">
        <v>790</v>
      </c>
      <c r="M1215" s="9">
        <f t="shared" si="18"/>
        <v>7110</v>
      </c>
    </row>
    <row r="1216" spans="6:13" x14ac:dyDescent="0.3">
      <c r="F1216" s="7">
        <v>44484</v>
      </c>
      <c r="G1216" s="8" t="s">
        <v>8</v>
      </c>
      <c r="H1216" s="8" t="s">
        <v>9</v>
      </c>
      <c r="I1216" s="8" t="s">
        <v>23</v>
      </c>
      <c r="J1216" s="8" t="s">
        <v>24</v>
      </c>
      <c r="K1216" s="9">
        <v>6</v>
      </c>
      <c r="L1216" s="9">
        <v>2001</v>
      </c>
      <c r="M1216" s="9">
        <f t="shared" si="18"/>
        <v>12006</v>
      </c>
    </row>
    <row r="1217" spans="6:13" x14ac:dyDescent="0.3">
      <c r="F1217" s="7">
        <v>44484</v>
      </c>
      <c r="G1217" s="8" t="s">
        <v>12</v>
      </c>
      <c r="H1217" s="8" t="s">
        <v>13</v>
      </c>
      <c r="I1217" s="8" t="s">
        <v>25</v>
      </c>
      <c r="J1217" s="8" t="s">
        <v>24</v>
      </c>
      <c r="K1217" s="9">
        <v>26</v>
      </c>
      <c r="L1217" s="9">
        <v>75</v>
      </c>
      <c r="M1217" s="9">
        <f t="shared" si="18"/>
        <v>1950</v>
      </c>
    </row>
    <row r="1218" spans="6:13" x14ac:dyDescent="0.3">
      <c r="F1218" s="7">
        <v>44484</v>
      </c>
      <c r="G1218" s="8" t="s">
        <v>15</v>
      </c>
      <c r="H1218" s="8" t="s">
        <v>13</v>
      </c>
      <c r="I1218" s="8" t="s">
        <v>23</v>
      </c>
      <c r="J1218" s="8" t="s">
        <v>24</v>
      </c>
      <c r="K1218" s="9">
        <v>11</v>
      </c>
      <c r="L1218" s="9">
        <v>315</v>
      </c>
      <c r="M1218" s="9">
        <f t="shared" si="18"/>
        <v>3465</v>
      </c>
    </row>
    <row r="1219" spans="6:13" x14ac:dyDescent="0.3">
      <c r="F1219" s="7">
        <v>44484</v>
      </c>
      <c r="G1219" s="8" t="s">
        <v>16</v>
      </c>
      <c r="H1219" s="8" t="s">
        <v>9</v>
      </c>
      <c r="I1219" s="8" t="s">
        <v>23</v>
      </c>
      <c r="J1219" s="8" t="s">
        <v>24</v>
      </c>
      <c r="K1219" s="9">
        <v>4</v>
      </c>
      <c r="L1219" s="9">
        <v>1080</v>
      </c>
      <c r="M1219" s="9">
        <f t="shared" si="18"/>
        <v>4320</v>
      </c>
    </row>
    <row r="1220" spans="6:13" x14ac:dyDescent="0.3">
      <c r="F1220" s="7">
        <v>44484</v>
      </c>
      <c r="G1220" s="8" t="s">
        <v>17</v>
      </c>
      <c r="H1220" s="8" t="s">
        <v>18</v>
      </c>
      <c r="I1220" s="8" t="s">
        <v>25</v>
      </c>
      <c r="J1220" s="8" t="s">
        <v>24</v>
      </c>
      <c r="K1220" s="9">
        <v>3</v>
      </c>
      <c r="L1220" s="9">
        <v>1575</v>
      </c>
      <c r="M1220" s="9">
        <f t="shared" ref="M1220:M1283" si="19">K1220*L1220</f>
        <v>4725</v>
      </c>
    </row>
    <row r="1221" spans="6:13" x14ac:dyDescent="0.3">
      <c r="F1221" s="7">
        <v>44484</v>
      </c>
      <c r="G1221" s="8" t="s">
        <v>19</v>
      </c>
      <c r="H1221" s="8" t="s">
        <v>18</v>
      </c>
      <c r="I1221" s="8" t="s">
        <v>25</v>
      </c>
      <c r="J1221" s="8" t="s">
        <v>24</v>
      </c>
      <c r="K1221" s="9">
        <v>8</v>
      </c>
      <c r="L1221" s="9">
        <v>790</v>
      </c>
      <c r="M1221" s="9">
        <f t="shared" si="19"/>
        <v>6320</v>
      </c>
    </row>
    <row r="1222" spans="6:13" x14ac:dyDescent="0.3">
      <c r="F1222" s="7">
        <v>44484</v>
      </c>
      <c r="G1222" s="8" t="s">
        <v>8</v>
      </c>
      <c r="H1222" s="8" t="s">
        <v>9</v>
      </c>
      <c r="I1222" s="8" t="s">
        <v>26</v>
      </c>
      <c r="J1222" s="8" t="s">
        <v>27</v>
      </c>
      <c r="K1222" s="9">
        <v>3</v>
      </c>
      <c r="L1222" s="9">
        <v>2001</v>
      </c>
      <c r="M1222" s="9">
        <f t="shared" si="19"/>
        <v>6003</v>
      </c>
    </row>
    <row r="1223" spans="6:13" x14ac:dyDescent="0.3">
      <c r="F1223" s="7">
        <v>44484</v>
      </c>
      <c r="G1223" s="8" t="s">
        <v>12</v>
      </c>
      <c r="H1223" s="8" t="s">
        <v>13</v>
      </c>
      <c r="I1223" s="8" t="s">
        <v>28</v>
      </c>
      <c r="J1223" s="8" t="s">
        <v>27</v>
      </c>
      <c r="K1223" s="9">
        <v>41</v>
      </c>
      <c r="L1223" s="9">
        <v>75</v>
      </c>
      <c r="M1223" s="9">
        <f t="shared" si="19"/>
        <v>3075</v>
      </c>
    </row>
    <row r="1224" spans="6:13" x14ac:dyDescent="0.3">
      <c r="F1224" s="7">
        <v>44484</v>
      </c>
      <c r="G1224" s="8" t="s">
        <v>15</v>
      </c>
      <c r="H1224" s="8" t="s">
        <v>13</v>
      </c>
      <c r="I1224" s="8" t="s">
        <v>28</v>
      </c>
      <c r="J1224" s="8" t="s">
        <v>27</v>
      </c>
      <c r="K1224" s="9">
        <v>8</v>
      </c>
      <c r="L1224" s="9">
        <v>315</v>
      </c>
      <c r="M1224" s="9">
        <f t="shared" si="19"/>
        <v>2520</v>
      </c>
    </row>
    <row r="1225" spans="6:13" x14ac:dyDescent="0.3">
      <c r="F1225" s="7">
        <v>44484</v>
      </c>
      <c r="G1225" s="8" t="s">
        <v>16</v>
      </c>
      <c r="H1225" s="8" t="s">
        <v>9</v>
      </c>
      <c r="I1225" s="8" t="s">
        <v>26</v>
      </c>
      <c r="J1225" s="8" t="s">
        <v>27</v>
      </c>
      <c r="K1225" s="9">
        <v>5</v>
      </c>
      <c r="L1225" s="9">
        <v>1080</v>
      </c>
      <c r="M1225" s="9">
        <f t="shared" si="19"/>
        <v>5400</v>
      </c>
    </row>
    <row r="1226" spans="6:13" x14ac:dyDescent="0.3">
      <c r="F1226" s="7">
        <v>44484</v>
      </c>
      <c r="G1226" s="8" t="s">
        <v>17</v>
      </c>
      <c r="H1226" s="8" t="s">
        <v>18</v>
      </c>
      <c r="I1226" s="8" t="s">
        <v>28</v>
      </c>
      <c r="J1226" s="8" t="s">
        <v>27</v>
      </c>
      <c r="K1226" s="9">
        <v>6</v>
      </c>
      <c r="L1226" s="9">
        <v>1575</v>
      </c>
      <c r="M1226" s="9">
        <f t="shared" si="19"/>
        <v>9450</v>
      </c>
    </row>
    <row r="1227" spans="6:13" x14ac:dyDescent="0.3">
      <c r="F1227" s="7">
        <v>44484</v>
      </c>
      <c r="G1227" s="8" t="s">
        <v>19</v>
      </c>
      <c r="H1227" s="8" t="s">
        <v>18</v>
      </c>
      <c r="I1227" s="8" t="s">
        <v>28</v>
      </c>
      <c r="J1227" s="8" t="s">
        <v>27</v>
      </c>
      <c r="K1227" s="9">
        <v>7</v>
      </c>
      <c r="L1227" s="9">
        <v>790</v>
      </c>
      <c r="M1227" s="9">
        <f t="shared" si="19"/>
        <v>5530</v>
      </c>
    </row>
    <row r="1228" spans="6:13" x14ac:dyDescent="0.3">
      <c r="F1228" s="7">
        <v>44484</v>
      </c>
      <c r="G1228" s="8" t="s">
        <v>8</v>
      </c>
      <c r="H1228" s="8" t="s">
        <v>9</v>
      </c>
      <c r="I1228" s="8" t="s">
        <v>29</v>
      </c>
      <c r="J1228" s="8" t="s">
        <v>30</v>
      </c>
      <c r="K1228" s="9">
        <v>6</v>
      </c>
      <c r="L1228" s="9">
        <v>2001</v>
      </c>
      <c r="M1228" s="9">
        <f t="shared" si="19"/>
        <v>12006</v>
      </c>
    </row>
    <row r="1229" spans="6:13" x14ac:dyDescent="0.3">
      <c r="F1229" s="7">
        <v>44484</v>
      </c>
      <c r="G1229" s="8" t="s">
        <v>12</v>
      </c>
      <c r="H1229" s="8" t="s">
        <v>13</v>
      </c>
      <c r="I1229" s="8" t="s">
        <v>31</v>
      </c>
      <c r="J1229" s="8" t="s">
        <v>30</v>
      </c>
      <c r="K1229" s="9">
        <v>43</v>
      </c>
      <c r="L1229" s="9">
        <v>75</v>
      </c>
      <c r="M1229" s="9">
        <f t="shared" si="19"/>
        <v>3225</v>
      </c>
    </row>
    <row r="1230" spans="6:13" x14ac:dyDescent="0.3">
      <c r="F1230" s="7">
        <v>44484</v>
      </c>
      <c r="G1230" s="8" t="s">
        <v>15</v>
      </c>
      <c r="H1230" s="8" t="s">
        <v>13</v>
      </c>
      <c r="I1230" s="8" t="s">
        <v>31</v>
      </c>
      <c r="J1230" s="8" t="s">
        <v>30</v>
      </c>
      <c r="K1230" s="9">
        <v>8</v>
      </c>
      <c r="L1230" s="9">
        <v>315</v>
      </c>
      <c r="M1230" s="9">
        <f t="shared" si="19"/>
        <v>2520</v>
      </c>
    </row>
    <row r="1231" spans="6:13" x14ac:dyDescent="0.3">
      <c r="F1231" s="7">
        <v>44484</v>
      </c>
      <c r="G1231" s="8" t="s">
        <v>16</v>
      </c>
      <c r="H1231" s="8" t="s">
        <v>9</v>
      </c>
      <c r="I1231" s="8" t="s">
        <v>29</v>
      </c>
      <c r="J1231" s="8" t="s">
        <v>30</v>
      </c>
      <c r="K1231" s="9">
        <v>5</v>
      </c>
      <c r="L1231" s="9">
        <v>1080</v>
      </c>
      <c r="M1231" s="9">
        <f t="shared" si="19"/>
        <v>5400</v>
      </c>
    </row>
    <row r="1232" spans="6:13" x14ac:dyDescent="0.3">
      <c r="F1232" s="7">
        <v>44484</v>
      </c>
      <c r="G1232" s="8" t="s">
        <v>17</v>
      </c>
      <c r="H1232" s="8" t="s">
        <v>18</v>
      </c>
      <c r="I1232" s="8" t="s">
        <v>29</v>
      </c>
      <c r="J1232" s="8" t="s">
        <v>30</v>
      </c>
      <c r="K1232" s="9">
        <v>6</v>
      </c>
      <c r="L1232" s="9">
        <v>1575</v>
      </c>
      <c r="M1232" s="9">
        <f t="shared" si="19"/>
        <v>9450</v>
      </c>
    </row>
    <row r="1233" spans="6:13" x14ac:dyDescent="0.3">
      <c r="F1233" s="7">
        <v>44484</v>
      </c>
      <c r="G1233" s="8" t="s">
        <v>19</v>
      </c>
      <c r="H1233" s="8" t="s">
        <v>18</v>
      </c>
      <c r="I1233" s="8" t="s">
        <v>29</v>
      </c>
      <c r="J1233" s="8" t="s">
        <v>30</v>
      </c>
      <c r="K1233" s="9">
        <v>7</v>
      </c>
      <c r="L1233" s="9">
        <v>790</v>
      </c>
      <c r="M1233" s="9">
        <f t="shared" si="19"/>
        <v>5530</v>
      </c>
    </row>
    <row r="1234" spans="6:13" x14ac:dyDescent="0.3">
      <c r="F1234" s="7">
        <v>44491</v>
      </c>
      <c r="G1234" s="8" t="s">
        <v>8</v>
      </c>
      <c r="H1234" s="8" t="s">
        <v>9</v>
      </c>
      <c r="I1234" s="8" t="s">
        <v>14</v>
      </c>
      <c r="J1234" s="8" t="s">
        <v>11</v>
      </c>
      <c r="K1234" s="9">
        <v>5</v>
      </c>
      <c r="L1234" s="9">
        <v>2001</v>
      </c>
      <c r="M1234" s="9">
        <f t="shared" si="19"/>
        <v>10005</v>
      </c>
    </row>
    <row r="1235" spans="6:13" x14ac:dyDescent="0.3">
      <c r="F1235" s="7">
        <v>44491</v>
      </c>
      <c r="G1235" s="8" t="s">
        <v>12</v>
      </c>
      <c r="H1235" s="8" t="s">
        <v>13</v>
      </c>
      <c r="I1235" s="8" t="s">
        <v>14</v>
      </c>
      <c r="J1235" s="8" t="s">
        <v>11</v>
      </c>
      <c r="K1235" s="9">
        <v>32</v>
      </c>
      <c r="L1235" s="9">
        <v>75</v>
      </c>
      <c r="M1235" s="9">
        <f t="shared" si="19"/>
        <v>2400</v>
      </c>
    </row>
    <row r="1236" spans="6:13" x14ac:dyDescent="0.3">
      <c r="F1236" s="7">
        <v>44491</v>
      </c>
      <c r="G1236" s="8" t="s">
        <v>15</v>
      </c>
      <c r="H1236" s="8" t="s">
        <v>13</v>
      </c>
      <c r="I1236" s="8" t="s">
        <v>14</v>
      </c>
      <c r="J1236" s="8" t="s">
        <v>11</v>
      </c>
      <c r="K1236" s="9">
        <v>7</v>
      </c>
      <c r="L1236" s="9">
        <v>315</v>
      </c>
      <c r="M1236" s="9">
        <f t="shared" si="19"/>
        <v>2205</v>
      </c>
    </row>
    <row r="1237" spans="6:13" x14ac:dyDescent="0.3">
      <c r="F1237" s="7">
        <v>44491</v>
      </c>
      <c r="G1237" s="8" t="s">
        <v>16</v>
      </c>
      <c r="H1237" s="8" t="s">
        <v>9</v>
      </c>
      <c r="I1237" s="8" t="s">
        <v>14</v>
      </c>
      <c r="J1237" s="8" t="s">
        <v>11</v>
      </c>
      <c r="K1237" s="9">
        <v>6</v>
      </c>
      <c r="L1237" s="9">
        <v>1080</v>
      </c>
      <c r="M1237" s="9">
        <f t="shared" si="19"/>
        <v>6480</v>
      </c>
    </row>
    <row r="1238" spans="6:13" x14ac:dyDescent="0.3">
      <c r="F1238" s="7">
        <v>44491</v>
      </c>
      <c r="G1238" s="8" t="s">
        <v>17</v>
      </c>
      <c r="H1238" s="8" t="s">
        <v>18</v>
      </c>
      <c r="I1238" s="8" t="s">
        <v>10</v>
      </c>
      <c r="J1238" s="8" t="s">
        <v>11</v>
      </c>
      <c r="K1238" s="9">
        <v>4</v>
      </c>
      <c r="L1238" s="9">
        <v>1575</v>
      </c>
      <c r="M1238" s="9">
        <f t="shared" si="19"/>
        <v>6300</v>
      </c>
    </row>
    <row r="1239" spans="6:13" x14ac:dyDescent="0.3">
      <c r="F1239" s="7">
        <v>44491</v>
      </c>
      <c r="G1239" s="8" t="s">
        <v>19</v>
      </c>
      <c r="H1239" s="8" t="s">
        <v>18</v>
      </c>
      <c r="I1239" s="8" t="s">
        <v>10</v>
      </c>
      <c r="J1239" s="8" t="s">
        <v>11</v>
      </c>
      <c r="K1239" s="9">
        <v>7</v>
      </c>
      <c r="L1239" s="9">
        <v>790</v>
      </c>
      <c r="M1239" s="9">
        <f t="shared" si="19"/>
        <v>5530</v>
      </c>
    </row>
    <row r="1240" spans="6:13" x14ac:dyDescent="0.3">
      <c r="F1240" s="7">
        <v>44491</v>
      </c>
      <c r="G1240" s="8" t="s">
        <v>8</v>
      </c>
      <c r="H1240" s="8" t="s">
        <v>9</v>
      </c>
      <c r="I1240" s="8" t="s">
        <v>20</v>
      </c>
      <c r="J1240" s="8" t="s">
        <v>21</v>
      </c>
      <c r="K1240" s="9">
        <v>3</v>
      </c>
      <c r="L1240" s="9">
        <v>2001</v>
      </c>
      <c r="M1240" s="9">
        <f t="shared" si="19"/>
        <v>6003</v>
      </c>
    </row>
    <row r="1241" spans="6:13" x14ac:dyDescent="0.3">
      <c r="F1241" s="7">
        <v>44491</v>
      </c>
      <c r="G1241" s="8" t="s">
        <v>12</v>
      </c>
      <c r="H1241" s="8" t="s">
        <v>13</v>
      </c>
      <c r="I1241" s="8" t="s">
        <v>22</v>
      </c>
      <c r="J1241" s="8" t="s">
        <v>21</v>
      </c>
      <c r="K1241" s="9">
        <v>53</v>
      </c>
      <c r="L1241" s="9">
        <v>75</v>
      </c>
      <c r="M1241" s="9">
        <f t="shared" si="19"/>
        <v>3975</v>
      </c>
    </row>
    <row r="1242" spans="6:13" x14ac:dyDescent="0.3">
      <c r="F1242" s="7">
        <v>44491</v>
      </c>
      <c r="G1242" s="8" t="s">
        <v>15</v>
      </c>
      <c r="H1242" s="8" t="s">
        <v>13</v>
      </c>
      <c r="I1242" s="8" t="s">
        <v>22</v>
      </c>
      <c r="J1242" s="8" t="s">
        <v>21</v>
      </c>
      <c r="K1242" s="9">
        <v>14</v>
      </c>
      <c r="L1242" s="9">
        <v>315</v>
      </c>
      <c r="M1242" s="9">
        <f t="shared" si="19"/>
        <v>4410</v>
      </c>
    </row>
    <row r="1243" spans="6:13" x14ac:dyDescent="0.3">
      <c r="F1243" s="7">
        <v>44491</v>
      </c>
      <c r="G1243" s="8" t="s">
        <v>16</v>
      </c>
      <c r="H1243" s="8" t="s">
        <v>9</v>
      </c>
      <c r="I1243" s="8" t="s">
        <v>20</v>
      </c>
      <c r="J1243" s="8" t="s">
        <v>21</v>
      </c>
      <c r="K1243" s="9">
        <v>5</v>
      </c>
      <c r="L1243" s="9">
        <v>1080</v>
      </c>
      <c r="M1243" s="9">
        <f t="shared" si="19"/>
        <v>5400</v>
      </c>
    </row>
    <row r="1244" spans="6:13" x14ac:dyDescent="0.3">
      <c r="F1244" s="7">
        <v>44491</v>
      </c>
      <c r="G1244" s="8" t="s">
        <v>17</v>
      </c>
      <c r="H1244" s="8" t="s">
        <v>18</v>
      </c>
      <c r="I1244" s="8" t="s">
        <v>22</v>
      </c>
      <c r="J1244" s="8" t="s">
        <v>21</v>
      </c>
      <c r="K1244" s="9">
        <v>2</v>
      </c>
      <c r="L1244" s="9">
        <v>1575</v>
      </c>
      <c r="M1244" s="9">
        <f t="shared" si="19"/>
        <v>3150</v>
      </c>
    </row>
    <row r="1245" spans="6:13" x14ac:dyDescent="0.3">
      <c r="F1245" s="7">
        <v>44491</v>
      </c>
      <c r="G1245" s="8" t="s">
        <v>19</v>
      </c>
      <c r="H1245" s="8" t="s">
        <v>18</v>
      </c>
      <c r="I1245" s="8" t="s">
        <v>22</v>
      </c>
      <c r="J1245" s="8" t="s">
        <v>21</v>
      </c>
      <c r="K1245" s="9">
        <v>9</v>
      </c>
      <c r="L1245" s="9">
        <v>790</v>
      </c>
      <c r="M1245" s="9">
        <f t="shared" si="19"/>
        <v>7110</v>
      </c>
    </row>
    <row r="1246" spans="6:13" x14ac:dyDescent="0.3">
      <c r="F1246" s="7">
        <v>44491</v>
      </c>
      <c r="G1246" s="8" t="s">
        <v>8</v>
      </c>
      <c r="H1246" s="8" t="s">
        <v>9</v>
      </c>
      <c r="I1246" s="8" t="s">
        <v>23</v>
      </c>
      <c r="J1246" s="8" t="s">
        <v>24</v>
      </c>
      <c r="K1246" s="9">
        <v>4</v>
      </c>
      <c r="L1246" s="9">
        <v>2001</v>
      </c>
      <c r="M1246" s="9">
        <f t="shared" si="19"/>
        <v>8004</v>
      </c>
    </row>
    <row r="1247" spans="6:13" x14ac:dyDescent="0.3">
      <c r="F1247" s="7">
        <v>44491</v>
      </c>
      <c r="G1247" s="8" t="s">
        <v>12</v>
      </c>
      <c r="H1247" s="8" t="s">
        <v>13</v>
      </c>
      <c r="I1247" s="8" t="s">
        <v>23</v>
      </c>
      <c r="J1247" s="8" t="s">
        <v>24</v>
      </c>
      <c r="K1247" s="9">
        <v>23</v>
      </c>
      <c r="L1247" s="9">
        <v>75</v>
      </c>
      <c r="M1247" s="9">
        <f t="shared" si="19"/>
        <v>1725</v>
      </c>
    </row>
    <row r="1248" spans="6:13" x14ac:dyDescent="0.3">
      <c r="F1248" s="7">
        <v>44491</v>
      </c>
      <c r="G1248" s="8" t="s">
        <v>15</v>
      </c>
      <c r="H1248" s="8" t="s">
        <v>13</v>
      </c>
      <c r="I1248" s="8" t="s">
        <v>23</v>
      </c>
      <c r="J1248" s="8" t="s">
        <v>24</v>
      </c>
      <c r="K1248" s="9">
        <v>5</v>
      </c>
      <c r="L1248" s="9">
        <v>315</v>
      </c>
      <c r="M1248" s="9">
        <f t="shared" si="19"/>
        <v>1575</v>
      </c>
    </row>
    <row r="1249" spans="6:13" x14ac:dyDescent="0.3">
      <c r="F1249" s="7">
        <v>44491</v>
      </c>
      <c r="G1249" s="8" t="s">
        <v>16</v>
      </c>
      <c r="H1249" s="8" t="s">
        <v>9</v>
      </c>
      <c r="I1249" s="8" t="s">
        <v>23</v>
      </c>
      <c r="J1249" s="8" t="s">
        <v>24</v>
      </c>
      <c r="K1249" s="9">
        <v>2</v>
      </c>
      <c r="L1249" s="9">
        <v>1080</v>
      </c>
      <c r="M1249" s="9">
        <f t="shared" si="19"/>
        <v>2160</v>
      </c>
    </row>
    <row r="1250" spans="6:13" x14ac:dyDescent="0.3">
      <c r="F1250" s="7">
        <v>44491</v>
      </c>
      <c r="G1250" s="8" t="s">
        <v>17</v>
      </c>
      <c r="H1250" s="8" t="s">
        <v>18</v>
      </c>
      <c r="I1250" s="8" t="s">
        <v>25</v>
      </c>
      <c r="J1250" s="8" t="s">
        <v>24</v>
      </c>
      <c r="K1250" s="9">
        <v>2</v>
      </c>
      <c r="L1250" s="9">
        <v>1575</v>
      </c>
      <c r="M1250" s="9">
        <f t="shared" si="19"/>
        <v>3150</v>
      </c>
    </row>
    <row r="1251" spans="6:13" x14ac:dyDescent="0.3">
      <c r="F1251" s="7">
        <v>44491</v>
      </c>
      <c r="G1251" s="8" t="s">
        <v>19</v>
      </c>
      <c r="H1251" s="8" t="s">
        <v>18</v>
      </c>
      <c r="I1251" s="8" t="s">
        <v>25</v>
      </c>
      <c r="J1251" s="8" t="s">
        <v>24</v>
      </c>
      <c r="K1251" s="9">
        <v>9</v>
      </c>
      <c r="L1251" s="9">
        <v>790</v>
      </c>
      <c r="M1251" s="9">
        <f t="shared" si="19"/>
        <v>7110</v>
      </c>
    </row>
    <row r="1252" spans="6:13" x14ac:dyDescent="0.3">
      <c r="F1252" s="7">
        <v>44491</v>
      </c>
      <c r="G1252" s="8" t="s">
        <v>8</v>
      </c>
      <c r="H1252" s="8" t="s">
        <v>9</v>
      </c>
      <c r="I1252" s="8" t="s">
        <v>26</v>
      </c>
      <c r="J1252" s="8" t="s">
        <v>27</v>
      </c>
      <c r="K1252" s="9">
        <v>3</v>
      </c>
      <c r="L1252" s="9">
        <v>2001</v>
      </c>
      <c r="M1252" s="9">
        <f t="shared" si="19"/>
        <v>6003</v>
      </c>
    </row>
    <row r="1253" spans="6:13" x14ac:dyDescent="0.3">
      <c r="F1253" s="7">
        <v>44491</v>
      </c>
      <c r="G1253" s="8" t="s">
        <v>12</v>
      </c>
      <c r="H1253" s="8" t="s">
        <v>13</v>
      </c>
      <c r="I1253" s="8" t="s">
        <v>28</v>
      </c>
      <c r="J1253" s="8" t="s">
        <v>27</v>
      </c>
      <c r="K1253" s="9">
        <v>53</v>
      </c>
      <c r="L1253" s="9">
        <v>75</v>
      </c>
      <c r="M1253" s="9">
        <f t="shared" si="19"/>
        <v>3975</v>
      </c>
    </row>
    <row r="1254" spans="6:13" x14ac:dyDescent="0.3">
      <c r="F1254" s="7">
        <v>44491</v>
      </c>
      <c r="G1254" s="8" t="s">
        <v>15</v>
      </c>
      <c r="H1254" s="8" t="s">
        <v>13</v>
      </c>
      <c r="I1254" s="8" t="s">
        <v>28</v>
      </c>
      <c r="J1254" s="8" t="s">
        <v>27</v>
      </c>
      <c r="K1254" s="9">
        <v>12</v>
      </c>
      <c r="L1254" s="9">
        <v>315</v>
      </c>
      <c r="M1254" s="9">
        <f t="shared" si="19"/>
        <v>3780</v>
      </c>
    </row>
    <row r="1255" spans="6:13" x14ac:dyDescent="0.3">
      <c r="F1255" s="7">
        <v>44491</v>
      </c>
      <c r="G1255" s="8" t="s">
        <v>16</v>
      </c>
      <c r="H1255" s="8" t="s">
        <v>9</v>
      </c>
      <c r="I1255" s="8" t="s">
        <v>26</v>
      </c>
      <c r="J1255" s="8" t="s">
        <v>27</v>
      </c>
      <c r="K1255" s="9">
        <v>6</v>
      </c>
      <c r="L1255" s="9">
        <v>1080</v>
      </c>
      <c r="M1255" s="9">
        <f t="shared" si="19"/>
        <v>6480</v>
      </c>
    </row>
    <row r="1256" spans="6:13" x14ac:dyDescent="0.3">
      <c r="F1256" s="7">
        <v>44491</v>
      </c>
      <c r="G1256" s="8" t="s">
        <v>17</v>
      </c>
      <c r="H1256" s="8" t="s">
        <v>18</v>
      </c>
      <c r="I1256" s="8" t="s">
        <v>28</v>
      </c>
      <c r="J1256" s="8" t="s">
        <v>27</v>
      </c>
      <c r="K1256" s="9">
        <v>4</v>
      </c>
      <c r="L1256" s="9">
        <v>1575</v>
      </c>
      <c r="M1256" s="9">
        <f t="shared" si="19"/>
        <v>6300</v>
      </c>
    </row>
    <row r="1257" spans="6:13" x14ac:dyDescent="0.3">
      <c r="F1257" s="7">
        <v>44491</v>
      </c>
      <c r="G1257" s="8" t="s">
        <v>19</v>
      </c>
      <c r="H1257" s="8" t="s">
        <v>18</v>
      </c>
      <c r="I1257" s="8" t="s">
        <v>28</v>
      </c>
      <c r="J1257" s="8" t="s">
        <v>27</v>
      </c>
      <c r="K1257" s="9">
        <v>9</v>
      </c>
      <c r="L1257" s="9">
        <v>790</v>
      </c>
      <c r="M1257" s="9">
        <f t="shared" si="19"/>
        <v>7110</v>
      </c>
    </row>
    <row r="1258" spans="6:13" x14ac:dyDescent="0.3">
      <c r="F1258" s="7">
        <v>44491</v>
      </c>
      <c r="G1258" s="8" t="s">
        <v>8</v>
      </c>
      <c r="H1258" s="8" t="s">
        <v>9</v>
      </c>
      <c r="I1258" s="8" t="s">
        <v>29</v>
      </c>
      <c r="J1258" s="8" t="s">
        <v>30</v>
      </c>
      <c r="K1258" s="9">
        <v>4</v>
      </c>
      <c r="L1258" s="9">
        <v>2001</v>
      </c>
      <c r="M1258" s="9">
        <f t="shared" si="19"/>
        <v>8004</v>
      </c>
    </row>
    <row r="1259" spans="6:13" x14ac:dyDescent="0.3">
      <c r="F1259" s="7">
        <v>44491</v>
      </c>
      <c r="G1259" s="8" t="s">
        <v>12</v>
      </c>
      <c r="H1259" s="8" t="s">
        <v>13</v>
      </c>
      <c r="I1259" s="8" t="s">
        <v>31</v>
      </c>
      <c r="J1259" s="8" t="s">
        <v>30</v>
      </c>
      <c r="K1259" s="9">
        <v>53</v>
      </c>
      <c r="L1259" s="9">
        <v>75</v>
      </c>
      <c r="M1259" s="9">
        <f t="shared" si="19"/>
        <v>3975</v>
      </c>
    </row>
    <row r="1260" spans="6:13" x14ac:dyDescent="0.3">
      <c r="F1260" s="7">
        <v>44491</v>
      </c>
      <c r="G1260" s="8" t="s">
        <v>15</v>
      </c>
      <c r="H1260" s="8" t="s">
        <v>13</v>
      </c>
      <c r="I1260" s="8" t="s">
        <v>31</v>
      </c>
      <c r="J1260" s="8" t="s">
        <v>30</v>
      </c>
      <c r="K1260" s="9">
        <v>9</v>
      </c>
      <c r="L1260" s="9">
        <v>315</v>
      </c>
      <c r="M1260" s="9">
        <f t="shared" si="19"/>
        <v>2835</v>
      </c>
    </row>
    <row r="1261" spans="6:13" x14ac:dyDescent="0.3">
      <c r="F1261" s="7">
        <v>44491</v>
      </c>
      <c r="G1261" s="8" t="s">
        <v>16</v>
      </c>
      <c r="H1261" s="8" t="s">
        <v>9</v>
      </c>
      <c r="I1261" s="8" t="s">
        <v>29</v>
      </c>
      <c r="J1261" s="8" t="s">
        <v>30</v>
      </c>
      <c r="K1261" s="9">
        <v>6</v>
      </c>
      <c r="L1261" s="9">
        <v>1080</v>
      </c>
      <c r="M1261" s="9">
        <f t="shared" si="19"/>
        <v>6480</v>
      </c>
    </row>
    <row r="1262" spans="6:13" x14ac:dyDescent="0.3">
      <c r="F1262" s="7">
        <v>44491</v>
      </c>
      <c r="G1262" s="8" t="s">
        <v>17</v>
      </c>
      <c r="H1262" s="8" t="s">
        <v>18</v>
      </c>
      <c r="I1262" s="8" t="s">
        <v>29</v>
      </c>
      <c r="J1262" s="8" t="s">
        <v>30</v>
      </c>
      <c r="K1262" s="9">
        <v>2</v>
      </c>
      <c r="L1262" s="9">
        <v>1575</v>
      </c>
      <c r="M1262" s="9">
        <f t="shared" si="19"/>
        <v>3150</v>
      </c>
    </row>
    <row r="1263" spans="6:13" x14ac:dyDescent="0.3">
      <c r="F1263" s="7">
        <v>44491</v>
      </c>
      <c r="G1263" s="8" t="s">
        <v>19</v>
      </c>
      <c r="H1263" s="8" t="s">
        <v>18</v>
      </c>
      <c r="I1263" s="8" t="s">
        <v>29</v>
      </c>
      <c r="J1263" s="8" t="s">
        <v>30</v>
      </c>
      <c r="K1263" s="9">
        <v>7</v>
      </c>
      <c r="L1263" s="9">
        <v>790</v>
      </c>
      <c r="M1263" s="9">
        <f t="shared" si="19"/>
        <v>5530</v>
      </c>
    </row>
    <row r="1264" spans="6:13" x14ac:dyDescent="0.3">
      <c r="F1264" s="7">
        <v>44498</v>
      </c>
      <c r="G1264" s="8" t="s">
        <v>8</v>
      </c>
      <c r="H1264" s="8" t="s">
        <v>9</v>
      </c>
      <c r="I1264" s="8" t="s">
        <v>14</v>
      </c>
      <c r="J1264" s="8" t="s">
        <v>11</v>
      </c>
      <c r="K1264" s="9">
        <v>4</v>
      </c>
      <c r="L1264" s="9">
        <v>2001</v>
      </c>
      <c r="M1264" s="9">
        <f t="shared" si="19"/>
        <v>8004</v>
      </c>
    </row>
    <row r="1265" spans="6:13" x14ac:dyDescent="0.3">
      <c r="F1265" s="7">
        <v>44498</v>
      </c>
      <c r="G1265" s="8" t="s">
        <v>12</v>
      </c>
      <c r="H1265" s="8" t="s">
        <v>13</v>
      </c>
      <c r="I1265" s="8" t="s">
        <v>14</v>
      </c>
      <c r="J1265" s="8" t="s">
        <v>11</v>
      </c>
      <c r="K1265" s="9">
        <v>53</v>
      </c>
      <c r="L1265" s="9">
        <v>75</v>
      </c>
      <c r="M1265" s="9">
        <f t="shared" si="19"/>
        <v>3975</v>
      </c>
    </row>
    <row r="1266" spans="6:13" x14ac:dyDescent="0.3">
      <c r="F1266" s="7">
        <v>44498</v>
      </c>
      <c r="G1266" s="8" t="s">
        <v>15</v>
      </c>
      <c r="H1266" s="8" t="s">
        <v>13</v>
      </c>
      <c r="I1266" s="8" t="s">
        <v>14</v>
      </c>
      <c r="J1266" s="8" t="s">
        <v>11</v>
      </c>
      <c r="K1266" s="9">
        <v>13</v>
      </c>
      <c r="L1266" s="9">
        <v>315</v>
      </c>
      <c r="M1266" s="9">
        <f t="shared" si="19"/>
        <v>4095</v>
      </c>
    </row>
    <row r="1267" spans="6:13" x14ac:dyDescent="0.3">
      <c r="F1267" s="7">
        <v>44498</v>
      </c>
      <c r="G1267" s="8" t="s">
        <v>16</v>
      </c>
      <c r="H1267" s="8" t="s">
        <v>9</v>
      </c>
      <c r="I1267" s="8" t="s">
        <v>14</v>
      </c>
      <c r="J1267" s="8" t="s">
        <v>11</v>
      </c>
      <c r="K1267" s="9">
        <v>3</v>
      </c>
      <c r="L1267" s="9">
        <v>1080</v>
      </c>
      <c r="M1267" s="9">
        <f t="shared" si="19"/>
        <v>3240</v>
      </c>
    </row>
    <row r="1268" spans="6:13" x14ac:dyDescent="0.3">
      <c r="F1268" s="7">
        <v>44498</v>
      </c>
      <c r="G1268" s="8" t="s">
        <v>17</v>
      </c>
      <c r="H1268" s="8" t="s">
        <v>18</v>
      </c>
      <c r="I1268" s="8" t="s">
        <v>10</v>
      </c>
      <c r="J1268" s="8" t="s">
        <v>11</v>
      </c>
      <c r="K1268" s="9">
        <v>4</v>
      </c>
      <c r="L1268" s="9">
        <v>1575</v>
      </c>
      <c r="M1268" s="9">
        <f t="shared" si="19"/>
        <v>6300</v>
      </c>
    </row>
    <row r="1269" spans="6:13" x14ac:dyDescent="0.3">
      <c r="F1269" s="7">
        <v>44498</v>
      </c>
      <c r="G1269" s="8" t="s">
        <v>19</v>
      </c>
      <c r="H1269" s="8" t="s">
        <v>18</v>
      </c>
      <c r="I1269" s="8" t="s">
        <v>10</v>
      </c>
      <c r="J1269" s="8" t="s">
        <v>11</v>
      </c>
      <c r="K1269" s="9">
        <v>10</v>
      </c>
      <c r="L1269" s="9">
        <v>790</v>
      </c>
      <c r="M1269" s="9">
        <f t="shared" si="19"/>
        <v>7900</v>
      </c>
    </row>
    <row r="1270" spans="6:13" x14ac:dyDescent="0.3">
      <c r="F1270" s="7">
        <v>44498</v>
      </c>
      <c r="G1270" s="8" t="s">
        <v>8</v>
      </c>
      <c r="H1270" s="8" t="s">
        <v>9</v>
      </c>
      <c r="I1270" s="8" t="s">
        <v>20</v>
      </c>
      <c r="J1270" s="8" t="s">
        <v>21</v>
      </c>
      <c r="K1270" s="9">
        <v>6</v>
      </c>
      <c r="L1270" s="9">
        <v>2001</v>
      </c>
      <c r="M1270" s="9">
        <f t="shared" si="19"/>
        <v>12006</v>
      </c>
    </row>
    <row r="1271" spans="6:13" x14ac:dyDescent="0.3">
      <c r="F1271" s="7">
        <v>44498</v>
      </c>
      <c r="G1271" s="8" t="s">
        <v>12</v>
      </c>
      <c r="H1271" s="8" t="s">
        <v>13</v>
      </c>
      <c r="I1271" s="8" t="s">
        <v>22</v>
      </c>
      <c r="J1271" s="8" t="s">
        <v>21</v>
      </c>
      <c r="K1271" s="9">
        <v>55</v>
      </c>
      <c r="L1271" s="9">
        <v>75</v>
      </c>
      <c r="M1271" s="9">
        <f t="shared" si="19"/>
        <v>4125</v>
      </c>
    </row>
    <row r="1272" spans="6:13" x14ac:dyDescent="0.3">
      <c r="F1272" s="7">
        <v>44498</v>
      </c>
      <c r="G1272" s="8" t="s">
        <v>15</v>
      </c>
      <c r="H1272" s="8" t="s">
        <v>13</v>
      </c>
      <c r="I1272" s="8" t="s">
        <v>22</v>
      </c>
      <c r="J1272" s="8" t="s">
        <v>21</v>
      </c>
      <c r="K1272" s="9">
        <v>15</v>
      </c>
      <c r="L1272" s="9">
        <v>315</v>
      </c>
      <c r="M1272" s="9">
        <f t="shared" si="19"/>
        <v>4725</v>
      </c>
    </row>
    <row r="1273" spans="6:13" x14ac:dyDescent="0.3">
      <c r="F1273" s="7">
        <v>44498</v>
      </c>
      <c r="G1273" s="8" t="s">
        <v>16</v>
      </c>
      <c r="H1273" s="8" t="s">
        <v>9</v>
      </c>
      <c r="I1273" s="8" t="s">
        <v>20</v>
      </c>
      <c r="J1273" s="8" t="s">
        <v>21</v>
      </c>
      <c r="K1273" s="9">
        <v>6</v>
      </c>
      <c r="L1273" s="9">
        <v>1080</v>
      </c>
      <c r="M1273" s="9">
        <f t="shared" si="19"/>
        <v>6480</v>
      </c>
    </row>
    <row r="1274" spans="6:13" x14ac:dyDescent="0.3">
      <c r="F1274" s="7">
        <v>44498</v>
      </c>
      <c r="G1274" s="8" t="s">
        <v>17</v>
      </c>
      <c r="H1274" s="8" t="s">
        <v>18</v>
      </c>
      <c r="I1274" s="8" t="s">
        <v>22</v>
      </c>
      <c r="J1274" s="8" t="s">
        <v>21</v>
      </c>
      <c r="K1274" s="9">
        <v>4</v>
      </c>
      <c r="L1274" s="9">
        <v>1575</v>
      </c>
      <c r="M1274" s="9">
        <f t="shared" si="19"/>
        <v>6300</v>
      </c>
    </row>
    <row r="1275" spans="6:13" x14ac:dyDescent="0.3">
      <c r="F1275" s="7">
        <v>44498</v>
      </c>
      <c r="G1275" s="8" t="s">
        <v>19</v>
      </c>
      <c r="H1275" s="8" t="s">
        <v>18</v>
      </c>
      <c r="I1275" s="8" t="s">
        <v>20</v>
      </c>
      <c r="J1275" s="8" t="s">
        <v>21</v>
      </c>
      <c r="K1275" s="9">
        <v>11</v>
      </c>
      <c r="L1275" s="9">
        <v>790</v>
      </c>
      <c r="M1275" s="9">
        <f t="shared" si="19"/>
        <v>8690</v>
      </c>
    </row>
    <row r="1276" spans="6:13" x14ac:dyDescent="0.3">
      <c r="F1276" s="7">
        <v>44498</v>
      </c>
      <c r="G1276" s="8" t="s">
        <v>8</v>
      </c>
      <c r="H1276" s="8" t="s">
        <v>9</v>
      </c>
      <c r="I1276" s="8" t="s">
        <v>23</v>
      </c>
      <c r="J1276" s="8" t="s">
        <v>24</v>
      </c>
      <c r="K1276" s="9">
        <v>3</v>
      </c>
      <c r="L1276" s="9">
        <v>2001</v>
      </c>
      <c r="M1276" s="9">
        <f t="shared" si="19"/>
        <v>6003</v>
      </c>
    </row>
    <row r="1277" spans="6:13" x14ac:dyDescent="0.3">
      <c r="F1277" s="7">
        <v>44498</v>
      </c>
      <c r="G1277" s="8" t="s">
        <v>12</v>
      </c>
      <c r="H1277" s="8" t="s">
        <v>13</v>
      </c>
      <c r="I1277" s="8" t="s">
        <v>23</v>
      </c>
      <c r="J1277" s="8" t="s">
        <v>24</v>
      </c>
      <c r="K1277" s="9">
        <v>35</v>
      </c>
      <c r="L1277" s="9">
        <v>75</v>
      </c>
      <c r="M1277" s="9">
        <f t="shared" si="19"/>
        <v>2625</v>
      </c>
    </row>
    <row r="1278" spans="6:13" x14ac:dyDescent="0.3">
      <c r="F1278" s="7">
        <v>44498</v>
      </c>
      <c r="G1278" s="8" t="s">
        <v>15</v>
      </c>
      <c r="H1278" s="8" t="s">
        <v>13</v>
      </c>
      <c r="I1278" s="8" t="s">
        <v>23</v>
      </c>
      <c r="J1278" s="8" t="s">
        <v>24</v>
      </c>
      <c r="K1278" s="9">
        <v>7</v>
      </c>
      <c r="L1278" s="9">
        <v>315</v>
      </c>
      <c r="M1278" s="9">
        <f t="shared" si="19"/>
        <v>2205</v>
      </c>
    </row>
    <row r="1279" spans="6:13" x14ac:dyDescent="0.3">
      <c r="F1279" s="7">
        <v>44498</v>
      </c>
      <c r="G1279" s="8" t="s">
        <v>16</v>
      </c>
      <c r="H1279" s="8" t="s">
        <v>9</v>
      </c>
      <c r="I1279" s="8" t="s">
        <v>23</v>
      </c>
      <c r="J1279" s="8" t="s">
        <v>24</v>
      </c>
      <c r="K1279" s="9">
        <v>3</v>
      </c>
      <c r="L1279" s="9">
        <v>1080</v>
      </c>
      <c r="M1279" s="9">
        <f t="shared" si="19"/>
        <v>3240</v>
      </c>
    </row>
    <row r="1280" spans="6:13" x14ac:dyDescent="0.3">
      <c r="F1280" s="7">
        <v>44498</v>
      </c>
      <c r="G1280" s="8" t="s">
        <v>17</v>
      </c>
      <c r="H1280" s="8" t="s">
        <v>18</v>
      </c>
      <c r="I1280" s="8" t="s">
        <v>25</v>
      </c>
      <c r="J1280" s="8" t="s">
        <v>24</v>
      </c>
      <c r="K1280" s="9">
        <v>5</v>
      </c>
      <c r="L1280" s="9">
        <v>1575</v>
      </c>
      <c r="M1280" s="9">
        <f t="shared" si="19"/>
        <v>7875</v>
      </c>
    </row>
    <row r="1281" spans="6:13" x14ac:dyDescent="0.3">
      <c r="F1281" s="7">
        <v>44498</v>
      </c>
      <c r="G1281" s="8" t="s">
        <v>19</v>
      </c>
      <c r="H1281" s="8" t="s">
        <v>18</v>
      </c>
      <c r="I1281" s="8" t="s">
        <v>25</v>
      </c>
      <c r="J1281" s="8" t="s">
        <v>24</v>
      </c>
      <c r="K1281" s="9">
        <v>10</v>
      </c>
      <c r="L1281" s="9">
        <v>790</v>
      </c>
      <c r="M1281" s="9">
        <f t="shared" si="19"/>
        <v>7900</v>
      </c>
    </row>
    <row r="1282" spans="6:13" x14ac:dyDescent="0.3">
      <c r="F1282" s="7">
        <v>44498</v>
      </c>
      <c r="G1282" s="8" t="s">
        <v>8</v>
      </c>
      <c r="H1282" s="8" t="s">
        <v>9</v>
      </c>
      <c r="I1282" s="8" t="s">
        <v>26</v>
      </c>
      <c r="J1282" s="8" t="s">
        <v>27</v>
      </c>
      <c r="K1282" s="9">
        <v>4</v>
      </c>
      <c r="L1282" s="9">
        <v>2001</v>
      </c>
      <c r="M1282" s="9">
        <f t="shared" si="19"/>
        <v>8004</v>
      </c>
    </row>
    <row r="1283" spans="6:13" x14ac:dyDescent="0.3">
      <c r="F1283" s="7">
        <v>44498</v>
      </c>
      <c r="G1283" s="8" t="s">
        <v>12</v>
      </c>
      <c r="H1283" s="8" t="s">
        <v>13</v>
      </c>
      <c r="I1283" s="8" t="s">
        <v>28</v>
      </c>
      <c r="J1283" s="8" t="s">
        <v>27</v>
      </c>
      <c r="K1283" s="9">
        <v>51</v>
      </c>
      <c r="L1283" s="9">
        <v>75</v>
      </c>
      <c r="M1283" s="9">
        <f t="shared" si="19"/>
        <v>3825</v>
      </c>
    </row>
    <row r="1284" spans="6:13" x14ac:dyDescent="0.3">
      <c r="F1284" s="7">
        <v>44498</v>
      </c>
      <c r="G1284" s="8" t="s">
        <v>15</v>
      </c>
      <c r="H1284" s="8" t="s">
        <v>13</v>
      </c>
      <c r="I1284" s="8" t="s">
        <v>28</v>
      </c>
      <c r="J1284" s="8" t="s">
        <v>27</v>
      </c>
      <c r="K1284" s="9">
        <v>7</v>
      </c>
      <c r="L1284" s="9">
        <v>315</v>
      </c>
      <c r="M1284" s="9">
        <f t="shared" ref="M1284:M1347" si="20">K1284*L1284</f>
        <v>2205</v>
      </c>
    </row>
    <row r="1285" spans="6:13" x14ac:dyDescent="0.3">
      <c r="F1285" s="7">
        <v>44498</v>
      </c>
      <c r="G1285" s="8" t="s">
        <v>16</v>
      </c>
      <c r="H1285" s="8" t="s">
        <v>9</v>
      </c>
      <c r="I1285" s="8" t="s">
        <v>26</v>
      </c>
      <c r="J1285" s="8" t="s">
        <v>27</v>
      </c>
      <c r="K1285" s="9">
        <v>5</v>
      </c>
      <c r="L1285" s="9">
        <v>1080</v>
      </c>
      <c r="M1285" s="9">
        <f t="shared" si="20"/>
        <v>5400</v>
      </c>
    </row>
    <row r="1286" spans="6:13" x14ac:dyDescent="0.3">
      <c r="F1286" s="7">
        <v>44498</v>
      </c>
      <c r="G1286" s="8" t="s">
        <v>17</v>
      </c>
      <c r="H1286" s="8" t="s">
        <v>18</v>
      </c>
      <c r="I1286" s="8" t="s">
        <v>28</v>
      </c>
      <c r="J1286" s="8" t="s">
        <v>27</v>
      </c>
      <c r="K1286" s="9">
        <v>6</v>
      </c>
      <c r="L1286" s="9">
        <v>1575</v>
      </c>
      <c r="M1286" s="9">
        <f t="shared" si="20"/>
        <v>9450</v>
      </c>
    </row>
    <row r="1287" spans="6:13" x14ac:dyDescent="0.3">
      <c r="F1287" s="7">
        <v>44498</v>
      </c>
      <c r="G1287" s="8" t="s">
        <v>19</v>
      </c>
      <c r="H1287" s="8" t="s">
        <v>18</v>
      </c>
      <c r="I1287" s="8" t="s">
        <v>28</v>
      </c>
      <c r="J1287" s="8" t="s">
        <v>27</v>
      </c>
      <c r="K1287" s="9">
        <v>9</v>
      </c>
      <c r="L1287" s="9">
        <v>790</v>
      </c>
      <c r="M1287" s="9">
        <f t="shared" si="20"/>
        <v>7110</v>
      </c>
    </row>
    <row r="1288" spans="6:13" x14ac:dyDescent="0.3">
      <c r="F1288" s="7">
        <v>44498</v>
      </c>
      <c r="G1288" s="8" t="s">
        <v>8</v>
      </c>
      <c r="H1288" s="8" t="s">
        <v>9</v>
      </c>
      <c r="I1288" s="8" t="s">
        <v>29</v>
      </c>
      <c r="J1288" s="8" t="s">
        <v>30</v>
      </c>
      <c r="K1288" s="9">
        <v>4</v>
      </c>
      <c r="L1288" s="9">
        <v>2001</v>
      </c>
      <c r="M1288" s="9">
        <f t="shared" si="20"/>
        <v>8004</v>
      </c>
    </row>
    <row r="1289" spans="6:13" x14ac:dyDescent="0.3">
      <c r="F1289" s="7">
        <v>44498</v>
      </c>
      <c r="G1289" s="8" t="s">
        <v>12</v>
      </c>
      <c r="H1289" s="8" t="s">
        <v>13</v>
      </c>
      <c r="I1289" s="8" t="s">
        <v>31</v>
      </c>
      <c r="J1289" s="8" t="s">
        <v>30</v>
      </c>
      <c r="K1289" s="9">
        <v>47</v>
      </c>
      <c r="L1289" s="9">
        <v>75</v>
      </c>
      <c r="M1289" s="9">
        <f t="shared" si="20"/>
        <v>3525</v>
      </c>
    </row>
    <row r="1290" spans="6:13" x14ac:dyDescent="0.3">
      <c r="F1290" s="7">
        <v>44498</v>
      </c>
      <c r="G1290" s="8" t="s">
        <v>15</v>
      </c>
      <c r="H1290" s="8" t="s">
        <v>13</v>
      </c>
      <c r="I1290" s="8" t="s">
        <v>31</v>
      </c>
      <c r="J1290" s="8" t="s">
        <v>30</v>
      </c>
      <c r="K1290" s="9">
        <v>5</v>
      </c>
      <c r="L1290" s="9">
        <v>315</v>
      </c>
      <c r="M1290" s="9">
        <f t="shared" si="20"/>
        <v>1575</v>
      </c>
    </row>
    <row r="1291" spans="6:13" x14ac:dyDescent="0.3">
      <c r="F1291" s="7">
        <v>44498</v>
      </c>
      <c r="G1291" s="8" t="s">
        <v>16</v>
      </c>
      <c r="H1291" s="8" t="s">
        <v>9</v>
      </c>
      <c r="I1291" s="8" t="s">
        <v>29</v>
      </c>
      <c r="J1291" s="8" t="s">
        <v>30</v>
      </c>
      <c r="K1291" s="9">
        <v>2</v>
      </c>
      <c r="L1291" s="9">
        <v>1080</v>
      </c>
      <c r="M1291" s="9">
        <f t="shared" si="20"/>
        <v>2160</v>
      </c>
    </row>
    <row r="1292" spans="6:13" x14ac:dyDescent="0.3">
      <c r="F1292" s="7">
        <v>44498</v>
      </c>
      <c r="G1292" s="8" t="s">
        <v>17</v>
      </c>
      <c r="H1292" s="8" t="s">
        <v>18</v>
      </c>
      <c r="I1292" s="8" t="s">
        <v>29</v>
      </c>
      <c r="J1292" s="8" t="s">
        <v>30</v>
      </c>
      <c r="K1292" s="9">
        <v>3</v>
      </c>
      <c r="L1292" s="9">
        <v>1575</v>
      </c>
      <c r="M1292" s="9">
        <f t="shared" si="20"/>
        <v>4725</v>
      </c>
    </row>
    <row r="1293" spans="6:13" x14ac:dyDescent="0.3">
      <c r="F1293" s="7">
        <v>44498</v>
      </c>
      <c r="G1293" s="8" t="s">
        <v>19</v>
      </c>
      <c r="H1293" s="8" t="s">
        <v>18</v>
      </c>
      <c r="I1293" s="8" t="s">
        <v>29</v>
      </c>
      <c r="J1293" s="8" t="s">
        <v>30</v>
      </c>
      <c r="K1293" s="9">
        <v>7</v>
      </c>
      <c r="L1293" s="9">
        <v>790</v>
      </c>
      <c r="M1293" s="9">
        <f t="shared" si="20"/>
        <v>5530</v>
      </c>
    </row>
    <row r="1294" spans="6:13" x14ac:dyDescent="0.3">
      <c r="F1294" s="7">
        <v>44505</v>
      </c>
      <c r="G1294" s="8" t="s">
        <v>8</v>
      </c>
      <c r="H1294" s="8" t="s">
        <v>9</v>
      </c>
      <c r="I1294" s="8" t="s">
        <v>14</v>
      </c>
      <c r="J1294" s="8" t="s">
        <v>11</v>
      </c>
      <c r="K1294" s="9">
        <v>3</v>
      </c>
      <c r="L1294" s="9">
        <v>2001</v>
      </c>
      <c r="M1294" s="9">
        <f t="shared" si="20"/>
        <v>6003</v>
      </c>
    </row>
    <row r="1295" spans="6:13" x14ac:dyDescent="0.3">
      <c r="F1295" s="7">
        <v>44505</v>
      </c>
      <c r="G1295" s="8" t="s">
        <v>12</v>
      </c>
      <c r="H1295" s="8" t="s">
        <v>13</v>
      </c>
      <c r="I1295" s="8" t="s">
        <v>14</v>
      </c>
      <c r="J1295" s="8" t="s">
        <v>11</v>
      </c>
      <c r="K1295" s="9">
        <v>34</v>
      </c>
      <c r="L1295" s="9">
        <v>75</v>
      </c>
      <c r="M1295" s="9">
        <f t="shared" si="20"/>
        <v>2550</v>
      </c>
    </row>
    <row r="1296" spans="6:13" x14ac:dyDescent="0.3">
      <c r="F1296" s="7">
        <v>44505</v>
      </c>
      <c r="G1296" s="8" t="s">
        <v>15</v>
      </c>
      <c r="H1296" s="8" t="s">
        <v>13</v>
      </c>
      <c r="I1296" s="8" t="s">
        <v>14</v>
      </c>
      <c r="J1296" s="8" t="s">
        <v>11</v>
      </c>
      <c r="K1296" s="9">
        <v>8</v>
      </c>
      <c r="L1296" s="9">
        <v>315</v>
      </c>
      <c r="M1296" s="9">
        <f t="shared" si="20"/>
        <v>2520</v>
      </c>
    </row>
    <row r="1297" spans="6:13" x14ac:dyDescent="0.3">
      <c r="F1297" s="7">
        <v>44505</v>
      </c>
      <c r="G1297" s="8" t="s">
        <v>16</v>
      </c>
      <c r="H1297" s="8" t="s">
        <v>9</v>
      </c>
      <c r="I1297" s="8" t="s">
        <v>14</v>
      </c>
      <c r="J1297" s="8" t="s">
        <v>11</v>
      </c>
      <c r="K1297" s="9">
        <v>3</v>
      </c>
      <c r="L1297" s="9">
        <v>1080</v>
      </c>
      <c r="M1297" s="9">
        <f t="shared" si="20"/>
        <v>3240</v>
      </c>
    </row>
    <row r="1298" spans="6:13" x14ac:dyDescent="0.3">
      <c r="F1298" s="7">
        <v>44505</v>
      </c>
      <c r="G1298" s="8" t="s">
        <v>17</v>
      </c>
      <c r="H1298" s="8" t="s">
        <v>18</v>
      </c>
      <c r="I1298" s="8" t="s">
        <v>10</v>
      </c>
      <c r="J1298" s="8" t="s">
        <v>11</v>
      </c>
      <c r="K1298" s="9">
        <v>5</v>
      </c>
      <c r="L1298" s="9">
        <v>1575</v>
      </c>
      <c r="M1298" s="9">
        <f t="shared" si="20"/>
        <v>7875</v>
      </c>
    </row>
    <row r="1299" spans="6:13" x14ac:dyDescent="0.3">
      <c r="F1299" s="7">
        <v>44505</v>
      </c>
      <c r="G1299" s="8" t="s">
        <v>19</v>
      </c>
      <c r="H1299" s="8" t="s">
        <v>18</v>
      </c>
      <c r="I1299" s="8" t="s">
        <v>10</v>
      </c>
      <c r="J1299" s="8" t="s">
        <v>11</v>
      </c>
      <c r="K1299" s="9">
        <v>10</v>
      </c>
      <c r="L1299" s="9">
        <v>790</v>
      </c>
      <c r="M1299" s="9">
        <f t="shared" si="20"/>
        <v>7900</v>
      </c>
    </row>
    <row r="1300" spans="6:13" x14ac:dyDescent="0.3">
      <c r="F1300" s="7">
        <v>44505</v>
      </c>
      <c r="G1300" s="8" t="s">
        <v>8</v>
      </c>
      <c r="H1300" s="8" t="s">
        <v>9</v>
      </c>
      <c r="I1300" s="8" t="s">
        <v>20</v>
      </c>
      <c r="J1300" s="8" t="s">
        <v>21</v>
      </c>
      <c r="K1300" s="9">
        <v>4</v>
      </c>
      <c r="L1300" s="9">
        <v>2001</v>
      </c>
      <c r="M1300" s="9">
        <f t="shared" si="20"/>
        <v>8004</v>
      </c>
    </row>
    <row r="1301" spans="6:13" x14ac:dyDescent="0.3">
      <c r="F1301" s="7">
        <v>44505</v>
      </c>
      <c r="G1301" s="8" t="s">
        <v>12</v>
      </c>
      <c r="H1301" s="8" t="s">
        <v>13</v>
      </c>
      <c r="I1301" s="8" t="s">
        <v>22</v>
      </c>
      <c r="J1301" s="8" t="s">
        <v>21</v>
      </c>
      <c r="K1301" s="9">
        <v>54</v>
      </c>
      <c r="L1301" s="9">
        <v>75</v>
      </c>
      <c r="M1301" s="9">
        <f t="shared" si="20"/>
        <v>4050</v>
      </c>
    </row>
    <row r="1302" spans="6:13" x14ac:dyDescent="0.3">
      <c r="F1302" s="7">
        <v>44505</v>
      </c>
      <c r="G1302" s="8" t="s">
        <v>15</v>
      </c>
      <c r="H1302" s="8" t="s">
        <v>13</v>
      </c>
      <c r="I1302" s="8" t="s">
        <v>22</v>
      </c>
      <c r="J1302" s="8" t="s">
        <v>21</v>
      </c>
      <c r="K1302" s="9">
        <v>13</v>
      </c>
      <c r="L1302" s="9">
        <v>315</v>
      </c>
      <c r="M1302" s="9">
        <f t="shared" si="20"/>
        <v>4095</v>
      </c>
    </row>
    <row r="1303" spans="6:13" x14ac:dyDescent="0.3">
      <c r="F1303" s="7">
        <v>44505</v>
      </c>
      <c r="G1303" s="8" t="s">
        <v>16</v>
      </c>
      <c r="H1303" s="8" t="s">
        <v>9</v>
      </c>
      <c r="I1303" s="8" t="s">
        <v>20</v>
      </c>
      <c r="J1303" s="8" t="s">
        <v>21</v>
      </c>
      <c r="K1303" s="9">
        <v>4</v>
      </c>
      <c r="L1303" s="9">
        <v>1080</v>
      </c>
      <c r="M1303" s="9">
        <f t="shared" si="20"/>
        <v>4320</v>
      </c>
    </row>
    <row r="1304" spans="6:13" x14ac:dyDescent="0.3">
      <c r="F1304" s="7">
        <v>44505</v>
      </c>
      <c r="G1304" s="8" t="s">
        <v>17</v>
      </c>
      <c r="H1304" s="8" t="s">
        <v>18</v>
      </c>
      <c r="I1304" s="8" t="s">
        <v>20</v>
      </c>
      <c r="J1304" s="8" t="s">
        <v>21</v>
      </c>
      <c r="K1304" s="9">
        <v>6</v>
      </c>
      <c r="L1304" s="9">
        <v>1575</v>
      </c>
      <c r="M1304" s="9">
        <f t="shared" si="20"/>
        <v>9450</v>
      </c>
    </row>
    <row r="1305" spans="6:13" x14ac:dyDescent="0.3">
      <c r="F1305" s="7">
        <v>44505</v>
      </c>
      <c r="G1305" s="8" t="s">
        <v>19</v>
      </c>
      <c r="H1305" s="8" t="s">
        <v>18</v>
      </c>
      <c r="I1305" s="8" t="s">
        <v>20</v>
      </c>
      <c r="J1305" s="8" t="s">
        <v>21</v>
      </c>
      <c r="K1305" s="9">
        <v>5</v>
      </c>
      <c r="L1305" s="9">
        <v>790</v>
      </c>
      <c r="M1305" s="9">
        <f t="shared" si="20"/>
        <v>3950</v>
      </c>
    </row>
    <row r="1306" spans="6:13" x14ac:dyDescent="0.3">
      <c r="F1306" s="7">
        <v>44505</v>
      </c>
      <c r="G1306" s="8" t="s">
        <v>8</v>
      </c>
      <c r="H1306" s="8" t="s">
        <v>9</v>
      </c>
      <c r="I1306" s="8" t="s">
        <v>23</v>
      </c>
      <c r="J1306" s="8" t="s">
        <v>24</v>
      </c>
      <c r="K1306" s="9">
        <v>3</v>
      </c>
      <c r="L1306" s="9">
        <v>2001</v>
      </c>
      <c r="M1306" s="9">
        <f t="shared" si="20"/>
        <v>6003</v>
      </c>
    </row>
    <row r="1307" spans="6:13" x14ac:dyDescent="0.3">
      <c r="F1307" s="7">
        <v>44505</v>
      </c>
      <c r="G1307" s="8" t="s">
        <v>12</v>
      </c>
      <c r="H1307" s="8" t="s">
        <v>13</v>
      </c>
      <c r="I1307" s="8" t="s">
        <v>23</v>
      </c>
      <c r="J1307" s="8" t="s">
        <v>24</v>
      </c>
      <c r="K1307" s="9">
        <v>31</v>
      </c>
      <c r="L1307" s="9">
        <v>75</v>
      </c>
      <c r="M1307" s="9">
        <f t="shared" si="20"/>
        <v>2325</v>
      </c>
    </row>
    <row r="1308" spans="6:13" x14ac:dyDescent="0.3">
      <c r="F1308" s="7">
        <v>44505</v>
      </c>
      <c r="G1308" s="8" t="s">
        <v>15</v>
      </c>
      <c r="H1308" s="8" t="s">
        <v>13</v>
      </c>
      <c r="I1308" s="8" t="s">
        <v>23</v>
      </c>
      <c r="J1308" s="8" t="s">
        <v>24</v>
      </c>
      <c r="K1308" s="9">
        <v>12</v>
      </c>
      <c r="L1308" s="9">
        <v>315</v>
      </c>
      <c r="M1308" s="9">
        <f t="shared" si="20"/>
        <v>3780</v>
      </c>
    </row>
    <row r="1309" spans="6:13" x14ac:dyDescent="0.3">
      <c r="F1309" s="7">
        <v>44505</v>
      </c>
      <c r="G1309" s="8" t="s">
        <v>16</v>
      </c>
      <c r="H1309" s="8" t="s">
        <v>9</v>
      </c>
      <c r="I1309" s="8" t="s">
        <v>23</v>
      </c>
      <c r="J1309" s="8" t="s">
        <v>24</v>
      </c>
      <c r="K1309" s="9">
        <v>5</v>
      </c>
      <c r="L1309" s="9">
        <v>1080</v>
      </c>
      <c r="M1309" s="9">
        <f t="shared" si="20"/>
        <v>5400</v>
      </c>
    </row>
    <row r="1310" spans="6:13" x14ac:dyDescent="0.3">
      <c r="F1310" s="7">
        <v>44505</v>
      </c>
      <c r="G1310" s="8" t="s">
        <v>17</v>
      </c>
      <c r="H1310" s="8" t="s">
        <v>18</v>
      </c>
      <c r="I1310" s="8" t="s">
        <v>25</v>
      </c>
      <c r="J1310" s="8" t="s">
        <v>24</v>
      </c>
      <c r="K1310" s="9">
        <v>2</v>
      </c>
      <c r="L1310" s="9">
        <v>1575</v>
      </c>
      <c r="M1310" s="9">
        <f t="shared" si="20"/>
        <v>3150</v>
      </c>
    </row>
    <row r="1311" spans="6:13" x14ac:dyDescent="0.3">
      <c r="F1311" s="7">
        <v>44505</v>
      </c>
      <c r="G1311" s="8" t="s">
        <v>19</v>
      </c>
      <c r="H1311" s="8" t="s">
        <v>18</v>
      </c>
      <c r="I1311" s="8" t="s">
        <v>25</v>
      </c>
      <c r="J1311" s="8" t="s">
        <v>24</v>
      </c>
      <c r="K1311" s="9">
        <v>11</v>
      </c>
      <c r="L1311" s="9">
        <v>790</v>
      </c>
      <c r="M1311" s="9">
        <f t="shared" si="20"/>
        <v>8690</v>
      </c>
    </row>
    <row r="1312" spans="6:13" x14ac:dyDescent="0.3">
      <c r="F1312" s="7">
        <v>44505</v>
      </c>
      <c r="G1312" s="8" t="s">
        <v>8</v>
      </c>
      <c r="H1312" s="8" t="s">
        <v>9</v>
      </c>
      <c r="I1312" s="8" t="s">
        <v>26</v>
      </c>
      <c r="J1312" s="8" t="s">
        <v>27</v>
      </c>
      <c r="K1312" s="9">
        <v>5</v>
      </c>
      <c r="L1312" s="9">
        <v>2001</v>
      </c>
      <c r="M1312" s="9">
        <f t="shared" si="20"/>
        <v>10005</v>
      </c>
    </row>
    <row r="1313" spans="6:13" x14ac:dyDescent="0.3">
      <c r="F1313" s="7">
        <v>44505</v>
      </c>
      <c r="G1313" s="8" t="s">
        <v>12</v>
      </c>
      <c r="H1313" s="8" t="s">
        <v>13</v>
      </c>
      <c r="I1313" s="8" t="s">
        <v>28</v>
      </c>
      <c r="J1313" s="8" t="s">
        <v>27</v>
      </c>
      <c r="K1313" s="9">
        <v>60</v>
      </c>
      <c r="L1313" s="9">
        <v>75</v>
      </c>
      <c r="M1313" s="9">
        <f t="shared" si="20"/>
        <v>4500</v>
      </c>
    </row>
    <row r="1314" spans="6:13" x14ac:dyDescent="0.3">
      <c r="F1314" s="7">
        <v>44505</v>
      </c>
      <c r="G1314" s="8" t="s">
        <v>15</v>
      </c>
      <c r="H1314" s="8" t="s">
        <v>13</v>
      </c>
      <c r="I1314" s="8" t="s">
        <v>26</v>
      </c>
      <c r="J1314" s="8" t="s">
        <v>27</v>
      </c>
      <c r="K1314" s="9">
        <v>6</v>
      </c>
      <c r="L1314" s="9">
        <v>315</v>
      </c>
      <c r="M1314" s="9">
        <f t="shared" si="20"/>
        <v>1890</v>
      </c>
    </row>
    <row r="1315" spans="6:13" x14ac:dyDescent="0.3">
      <c r="F1315" s="7">
        <v>44505</v>
      </c>
      <c r="G1315" s="8" t="s">
        <v>16</v>
      </c>
      <c r="H1315" s="8" t="s">
        <v>9</v>
      </c>
      <c r="I1315" s="8" t="s">
        <v>26</v>
      </c>
      <c r="J1315" s="8" t="s">
        <v>27</v>
      </c>
      <c r="K1315" s="9">
        <v>4</v>
      </c>
      <c r="L1315" s="9">
        <v>1080</v>
      </c>
      <c r="M1315" s="9">
        <f t="shared" si="20"/>
        <v>4320</v>
      </c>
    </row>
    <row r="1316" spans="6:13" x14ac:dyDescent="0.3">
      <c r="F1316" s="7">
        <v>44505</v>
      </c>
      <c r="G1316" s="8" t="s">
        <v>17</v>
      </c>
      <c r="H1316" s="8" t="s">
        <v>18</v>
      </c>
      <c r="I1316" s="8" t="s">
        <v>28</v>
      </c>
      <c r="J1316" s="8" t="s">
        <v>27</v>
      </c>
      <c r="K1316" s="9">
        <v>6</v>
      </c>
      <c r="L1316" s="9">
        <v>1575</v>
      </c>
      <c r="M1316" s="9">
        <f t="shared" si="20"/>
        <v>9450</v>
      </c>
    </row>
    <row r="1317" spans="6:13" x14ac:dyDescent="0.3">
      <c r="F1317" s="7">
        <v>44505</v>
      </c>
      <c r="G1317" s="8" t="s">
        <v>19</v>
      </c>
      <c r="H1317" s="8" t="s">
        <v>18</v>
      </c>
      <c r="I1317" s="8" t="s">
        <v>28</v>
      </c>
      <c r="J1317" s="8" t="s">
        <v>27</v>
      </c>
      <c r="K1317" s="9">
        <v>10</v>
      </c>
      <c r="L1317" s="9">
        <v>790</v>
      </c>
      <c r="M1317" s="9">
        <f t="shared" si="20"/>
        <v>7900</v>
      </c>
    </row>
    <row r="1318" spans="6:13" x14ac:dyDescent="0.3">
      <c r="F1318" s="7">
        <v>44505</v>
      </c>
      <c r="G1318" s="8" t="s">
        <v>8</v>
      </c>
      <c r="H1318" s="8" t="s">
        <v>9</v>
      </c>
      <c r="I1318" s="8" t="s">
        <v>29</v>
      </c>
      <c r="J1318" s="8" t="s">
        <v>30</v>
      </c>
      <c r="K1318" s="9">
        <v>3</v>
      </c>
      <c r="L1318" s="9">
        <v>2001</v>
      </c>
      <c r="M1318" s="9">
        <f t="shared" si="20"/>
        <v>6003</v>
      </c>
    </row>
    <row r="1319" spans="6:13" x14ac:dyDescent="0.3">
      <c r="F1319" s="7">
        <v>44505</v>
      </c>
      <c r="G1319" s="8" t="s">
        <v>12</v>
      </c>
      <c r="H1319" s="8" t="s">
        <v>13</v>
      </c>
      <c r="I1319" s="8" t="s">
        <v>31</v>
      </c>
      <c r="J1319" s="8" t="s">
        <v>30</v>
      </c>
      <c r="K1319" s="9">
        <v>40</v>
      </c>
      <c r="L1319" s="9">
        <v>75</v>
      </c>
      <c r="M1319" s="9">
        <f t="shared" si="20"/>
        <v>3000</v>
      </c>
    </row>
    <row r="1320" spans="6:13" x14ac:dyDescent="0.3">
      <c r="F1320" s="7">
        <v>44505</v>
      </c>
      <c r="G1320" s="8" t="s">
        <v>15</v>
      </c>
      <c r="H1320" s="8" t="s">
        <v>13</v>
      </c>
      <c r="I1320" s="8" t="s">
        <v>31</v>
      </c>
      <c r="J1320" s="8" t="s">
        <v>30</v>
      </c>
      <c r="K1320" s="9">
        <v>7</v>
      </c>
      <c r="L1320" s="9">
        <v>315</v>
      </c>
      <c r="M1320" s="9">
        <f t="shared" si="20"/>
        <v>2205</v>
      </c>
    </row>
    <row r="1321" spans="6:13" x14ac:dyDescent="0.3">
      <c r="F1321" s="7">
        <v>44505</v>
      </c>
      <c r="G1321" s="8" t="s">
        <v>16</v>
      </c>
      <c r="H1321" s="8" t="s">
        <v>9</v>
      </c>
      <c r="I1321" s="8" t="s">
        <v>29</v>
      </c>
      <c r="J1321" s="8" t="s">
        <v>30</v>
      </c>
      <c r="K1321" s="9">
        <v>6</v>
      </c>
      <c r="L1321" s="9">
        <v>1080</v>
      </c>
      <c r="M1321" s="9">
        <f t="shared" si="20"/>
        <v>6480</v>
      </c>
    </row>
    <row r="1322" spans="6:13" x14ac:dyDescent="0.3">
      <c r="F1322" s="7">
        <v>44505</v>
      </c>
      <c r="G1322" s="8" t="s">
        <v>17</v>
      </c>
      <c r="H1322" s="8" t="s">
        <v>18</v>
      </c>
      <c r="I1322" s="8" t="s">
        <v>29</v>
      </c>
      <c r="J1322" s="8" t="s">
        <v>30</v>
      </c>
      <c r="K1322" s="9">
        <v>4</v>
      </c>
      <c r="L1322" s="9">
        <v>1575</v>
      </c>
      <c r="M1322" s="9">
        <f t="shared" si="20"/>
        <v>6300</v>
      </c>
    </row>
    <row r="1323" spans="6:13" x14ac:dyDescent="0.3">
      <c r="F1323" s="7">
        <v>44505</v>
      </c>
      <c r="G1323" s="8" t="s">
        <v>19</v>
      </c>
      <c r="H1323" s="8" t="s">
        <v>18</v>
      </c>
      <c r="I1323" s="8" t="s">
        <v>29</v>
      </c>
      <c r="J1323" s="8" t="s">
        <v>30</v>
      </c>
      <c r="K1323" s="9">
        <v>9</v>
      </c>
      <c r="L1323" s="9">
        <v>790</v>
      </c>
      <c r="M1323" s="9">
        <f t="shared" si="20"/>
        <v>7110</v>
      </c>
    </row>
    <row r="1324" spans="6:13" x14ac:dyDescent="0.3">
      <c r="F1324" s="7">
        <v>44512</v>
      </c>
      <c r="G1324" s="8" t="s">
        <v>8</v>
      </c>
      <c r="H1324" s="8" t="s">
        <v>9</v>
      </c>
      <c r="I1324" s="8" t="s">
        <v>14</v>
      </c>
      <c r="J1324" s="8" t="s">
        <v>11</v>
      </c>
      <c r="K1324" s="9">
        <v>3</v>
      </c>
      <c r="L1324" s="9">
        <v>2001</v>
      </c>
      <c r="M1324" s="9">
        <f t="shared" si="20"/>
        <v>6003</v>
      </c>
    </row>
    <row r="1325" spans="6:13" x14ac:dyDescent="0.3">
      <c r="F1325" s="7">
        <v>44512</v>
      </c>
      <c r="G1325" s="8" t="s">
        <v>12</v>
      </c>
      <c r="H1325" s="8" t="s">
        <v>13</v>
      </c>
      <c r="I1325" s="8" t="s">
        <v>14</v>
      </c>
      <c r="J1325" s="8" t="s">
        <v>11</v>
      </c>
      <c r="K1325" s="9">
        <v>55</v>
      </c>
      <c r="L1325" s="9">
        <v>75</v>
      </c>
      <c r="M1325" s="9">
        <f t="shared" si="20"/>
        <v>4125</v>
      </c>
    </row>
    <row r="1326" spans="6:13" x14ac:dyDescent="0.3">
      <c r="F1326" s="7">
        <v>44512</v>
      </c>
      <c r="G1326" s="8" t="s">
        <v>15</v>
      </c>
      <c r="H1326" s="8" t="s">
        <v>13</v>
      </c>
      <c r="I1326" s="8" t="s">
        <v>14</v>
      </c>
      <c r="J1326" s="8" t="s">
        <v>11</v>
      </c>
      <c r="K1326" s="9">
        <v>10</v>
      </c>
      <c r="L1326" s="9">
        <v>315</v>
      </c>
      <c r="M1326" s="9">
        <f t="shared" si="20"/>
        <v>3150</v>
      </c>
    </row>
    <row r="1327" spans="6:13" x14ac:dyDescent="0.3">
      <c r="F1327" s="7">
        <v>44512</v>
      </c>
      <c r="G1327" s="8" t="s">
        <v>16</v>
      </c>
      <c r="H1327" s="8" t="s">
        <v>9</v>
      </c>
      <c r="I1327" s="8" t="s">
        <v>14</v>
      </c>
      <c r="J1327" s="8" t="s">
        <v>11</v>
      </c>
      <c r="K1327" s="9">
        <v>5</v>
      </c>
      <c r="L1327" s="9">
        <v>1080</v>
      </c>
      <c r="M1327" s="9">
        <f t="shared" si="20"/>
        <v>5400</v>
      </c>
    </row>
    <row r="1328" spans="6:13" x14ac:dyDescent="0.3">
      <c r="F1328" s="7">
        <v>44512</v>
      </c>
      <c r="G1328" s="8" t="s">
        <v>17</v>
      </c>
      <c r="H1328" s="8" t="s">
        <v>18</v>
      </c>
      <c r="I1328" s="8" t="s">
        <v>10</v>
      </c>
      <c r="J1328" s="8" t="s">
        <v>11</v>
      </c>
      <c r="K1328" s="9">
        <v>6</v>
      </c>
      <c r="L1328" s="9">
        <v>1575</v>
      </c>
      <c r="M1328" s="9">
        <f t="shared" si="20"/>
        <v>9450</v>
      </c>
    </row>
    <row r="1329" spans="6:13" x14ac:dyDescent="0.3">
      <c r="F1329" s="7">
        <v>44512</v>
      </c>
      <c r="G1329" s="8" t="s">
        <v>19</v>
      </c>
      <c r="H1329" s="8" t="s">
        <v>18</v>
      </c>
      <c r="I1329" s="8" t="s">
        <v>10</v>
      </c>
      <c r="J1329" s="8" t="s">
        <v>11</v>
      </c>
      <c r="K1329" s="9">
        <v>11</v>
      </c>
      <c r="L1329" s="9">
        <v>790</v>
      </c>
      <c r="M1329" s="9">
        <f t="shared" si="20"/>
        <v>8690</v>
      </c>
    </row>
    <row r="1330" spans="6:13" x14ac:dyDescent="0.3">
      <c r="F1330" s="7">
        <v>44512</v>
      </c>
      <c r="G1330" s="8" t="s">
        <v>8</v>
      </c>
      <c r="H1330" s="8" t="s">
        <v>9</v>
      </c>
      <c r="I1330" s="8" t="s">
        <v>20</v>
      </c>
      <c r="J1330" s="8" t="s">
        <v>21</v>
      </c>
      <c r="K1330" s="9">
        <v>6</v>
      </c>
      <c r="L1330" s="9">
        <v>2001</v>
      </c>
      <c r="M1330" s="9">
        <f t="shared" si="20"/>
        <v>12006</v>
      </c>
    </row>
    <row r="1331" spans="6:13" x14ac:dyDescent="0.3">
      <c r="F1331" s="7">
        <v>44512</v>
      </c>
      <c r="G1331" s="8" t="s">
        <v>12</v>
      </c>
      <c r="H1331" s="8" t="s">
        <v>13</v>
      </c>
      <c r="I1331" s="8" t="s">
        <v>22</v>
      </c>
      <c r="J1331" s="8" t="s">
        <v>21</v>
      </c>
      <c r="K1331" s="9">
        <v>32</v>
      </c>
      <c r="L1331" s="9">
        <v>75</v>
      </c>
      <c r="M1331" s="9">
        <f t="shared" si="20"/>
        <v>2400</v>
      </c>
    </row>
    <row r="1332" spans="6:13" x14ac:dyDescent="0.3">
      <c r="F1332" s="7">
        <v>44512</v>
      </c>
      <c r="G1332" s="8" t="s">
        <v>15</v>
      </c>
      <c r="H1332" s="8" t="s">
        <v>13</v>
      </c>
      <c r="I1332" s="8" t="s">
        <v>22</v>
      </c>
      <c r="J1332" s="8" t="s">
        <v>21</v>
      </c>
      <c r="K1332" s="9">
        <v>8</v>
      </c>
      <c r="L1332" s="9">
        <v>315</v>
      </c>
      <c r="M1332" s="9">
        <f t="shared" si="20"/>
        <v>2520</v>
      </c>
    </row>
    <row r="1333" spans="6:13" x14ac:dyDescent="0.3">
      <c r="F1333" s="7">
        <v>44512</v>
      </c>
      <c r="G1333" s="8" t="s">
        <v>16</v>
      </c>
      <c r="H1333" s="8" t="s">
        <v>9</v>
      </c>
      <c r="I1333" s="8" t="s">
        <v>20</v>
      </c>
      <c r="J1333" s="8" t="s">
        <v>21</v>
      </c>
      <c r="K1333" s="9">
        <v>2</v>
      </c>
      <c r="L1333" s="9">
        <v>1080</v>
      </c>
      <c r="M1333" s="9">
        <f t="shared" si="20"/>
        <v>2160</v>
      </c>
    </row>
    <row r="1334" spans="6:13" x14ac:dyDescent="0.3">
      <c r="F1334" s="7">
        <v>44512</v>
      </c>
      <c r="G1334" s="8" t="s">
        <v>17</v>
      </c>
      <c r="H1334" s="8" t="s">
        <v>18</v>
      </c>
      <c r="I1334" s="8" t="s">
        <v>20</v>
      </c>
      <c r="J1334" s="8" t="s">
        <v>21</v>
      </c>
      <c r="K1334" s="9">
        <v>5</v>
      </c>
      <c r="L1334" s="9">
        <v>1575</v>
      </c>
      <c r="M1334" s="9">
        <f t="shared" si="20"/>
        <v>7875</v>
      </c>
    </row>
    <row r="1335" spans="6:13" x14ac:dyDescent="0.3">
      <c r="F1335" s="7">
        <v>44512</v>
      </c>
      <c r="G1335" s="8" t="s">
        <v>19</v>
      </c>
      <c r="H1335" s="8" t="s">
        <v>18</v>
      </c>
      <c r="I1335" s="8" t="s">
        <v>20</v>
      </c>
      <c r="J1335" s="8" t="s">
        <v>21</v>
      </c>
      <c r="K1335" s="9">
        <v>7</v>
      </c>
      <c r="L1335" s="9">
        <v>790</v>
      </c>
      <c r="M1335" s="9">
        <f t="shared" si="20"/>
        <v>5530</v>
      </c>
    </row>
    <row r="1336" spans="6:13" x14ac:dyDescent="0.3">
      <c r="F1336" s="7">
        <v>44512</v>
      </c>
      <c r="G1336" s="8" t="s">
        <v>8</v>
      </c>
      <c r="H1336" s="8" t="s">
        <v>9</v>
      </c>
      <c r="I1336" s="8" t="s">
        <v>23</v>
      </c>
      <c r="J1336" s="8" t="s">
        <v>24</v>
      </c>
      <c r="K1336" s="9">
        <v>3</v>
      </c>
      <c r="L1336" s="9">
        <v>2001</v>
      </c>
      <c r="M1336" s="9">
        <f t="shared" si="20"/>
        <v>6003</v>
      </c>
    </row>
    <row r="1337" spans="6:13" x14ac:dyDescent="0.3">
      <c r="F1337" s="7">
        <v>44512</v>
      </c>
      <c r="G1337" s="8" t="s">
        <v>12</v>
      </c>
      <c r="H1337" s="8" t="s">
        <v>13</v>
      </c>
      <c r="I1337" s="8" t="s">
        <v>23</v>
      </c>
      <c r="J1337" s="8" t="s">
        <v>24</v>
      </c>
      <c r="K1337" s="9">
        <v>26</v>
      </c>
      <c r="L1337" s="9">
        <v>75</v>
      </c>
      <c r="M1337" s="9">
        <f t="shared" si="20"/>
        <v>1950</v>
      </c>
    </row>
    <row r="1338" spans="6:13" x14ac:dyDescent="0.3">
      <c r="F1338" s="7">
        <v>44512</v>
      </c>
      <c r="G1338" s="8" t="s">
        <v>15</v>
      </c>
      <c r="H1338" s="8" t="s">
        <v>13</v>
      </c>
      <c r="I1338" s="8" t="s">
        <v>23</v>
      </c>
      <c r="J1338" s="8" t="s">
        <v>24</v>
      </c>
      <c r="K1338" s="9">
        <v>11</v>
      </c>
      <c r="L1338" s="9">
        <v>315</v>
      </c>
      <c r="M1338" s="9">
        <f t="shared" si="20"/>
        <v>3465</v>
      </c>
    </row>
    <row r="1339" spans="6:13" x14ac:dyDescent="0.3">
      <c r="F1339" s="7">
        <v>44512</v>
      </c>
      <c r="G1339" s="8" t="s">
        <v>16</v>
      </c>
      <c r="H1339" s="8" t="s">
        <v>9</v>
      </c>
      <c r="I1339" s="8" t="s">
        <v>23</v>
      </c>
      <c r="J1339" s="8" t="s">
        <v>24</v>
      </c>
      <c r="K1339" s="9">
        <v>3</v>
      </c>
      <c r="L1339" s="9">
        <v>1080</v>
      </c>
      <c r="M1339" s="9">
        <f t="shared" si="20"/>
        <v>3240</v>
      </c>
    </row>
    <row r="1340" spans="6:13" x14ac:dyDescent="0.3">
      <c r="F1340" s="7">
        <v>44512</v>
      </c>
      <c r="G1340" s="8" t="s">
        <v>17</v>
      </c>
      <c r="H1340" s="8" t="s">
        <v>18</v>
      </c>
      <c r="I1340" s="8" t="s">
        <v>25</v>
      </c>
      <c r="J1340" s="8" t="s">
        <v>24</v>
      </c>
      <c r="K1340" s="9">
        <v>4</v>
      </c>
      <c r="L1340" s="9">
        <v>1575</v>
      </c>
      <c r="M1340" s="9">
        <f t="shared" si="20"/>
        <v>6300</v>
      </c>
    </row>
    <row r="1341" spans="6:13" x14ac:dyDescent="0.3">
      <c r="F1341" s="7">
        <v>44512</v>
      </c>
      <c r="G1341" s="8" t="s">
        <v>19</v>
      </c>
      <c r="H1341" s="8" t="s">
        <v>18</v>
      </c>
      <c r="I1341" s="8" t="s">
        <v>25</v>
      </c>
      <c r="J1341" s="8" t="s">
        <v>24</v>
      </c>
      <c r="K1341" s="9">
        <v>6</v>
      </c>
      <c r="L1341" s="9">
        <v>790</v>
      </c>
      <c r="M1341" s="9">
        <f t="shared" si="20"/>
        <v>4740</v>
      </c>
    </row>
    <row r="1342" spans="6:13" x14ac:dyDescent="0.3">
      <c r="F1342" s="7">
        <v>44512</v>
      </c>
      <c r="G1342" s="8" t="s">
        <v>8</v>
      </c>
      <c r="H1342" s="8" t="s">
        <v>9</v>
      </c>
      <c r="I1342" s="8" t="s">
        <v>26</v>
      </c>
      <c r="J1342" s="8" t="s">
        <v>27</v>
      </c>
      <c r="K1342" s="9">
        <v>4</v>
      </c>
      <c r="L1342" s="9">
        <v>2001</v>
      </c>
      <c r="M1342" s="9">
        <f t="shared" si="20"/>
        <v>8004</v>
      </c>
    </row>
    <row r="1343" spans="6:13" x14ac:dyDescent="0.3">
      <c r="F1343" s="7">
        <v>44512</v>
      </c>
      <c r="G1343" s="8" t="s">
        <v>12</v>
      </c>
      <c r="H1343" s="8" t="s">
        <v>13</v>
      </c>
      <c r="I1343" s="8" t="s">
        <v>26</v>
      </c>
      <c r="J1343" s="8" t="s">
        <v>27</v>
      </c>
      <c r="K1343" s="9">
        <v>52</v>
      </c>
      <c r="L1343" s="9">
        <v>75</v>
      </c>
      <c r="M1343" s="9">
        <f t="shared" si="20"/>
        <v>3900</v>
      </c>
    </row>
    <row r="1344" spans="6:13" x14ac:dyDescent="0.3">
      <c r="F1344" s="7">
        <v>44512</v>
      </c>
      <c r="G1344" s="8" t="s">
        <v>15</v>
      </c>
      <c r="H1344" s="8" t="s">
        <v>13</v>
      </c>
      <c r="I1344" s="8" t="s">
        <v>26</v>
      </c>
      <c r="J1344" s="8" t="s">
        <v>27</v>
      </c>
      <c r="K1344" s="9">
        <v>6</v>
      </c>
      <c r="L1344" s="9">
        <v>315</v>
      </c>
      <c r="M1344" s="9">
        <f t="shared" si="20"/>
        <v>1890</v>
      </c>
    </row>
    <row r="1345" spans="6:13" x14ac:dyDescent="0.3">
      <c r="F1345" s="7">
        <v>44512</v>
      </c>
      <c r="G1345" s="8" t="s">
        <v>16</v>
      </c>
      <c r="H1345" s="8" t="s">
        <v>9</v>
      </c>
      <c r="I1345" s="8" t="s">
        <v>26</v>
      </c>
      <c r="J1345" s="8" t="s">
        <v>27</v>
      </c>
      <c r="K1345" s="9">
        <v>4</v>
      </c>
      <c r="L1345" s="9">
        <v>1080</v>
      </c>
      <c r="M1345" s="9">
        <f t="shared" si="20"/>
        <v>4320</v>
      </c>
    </row>
    <row r="1346" spans="6:13" x14ac:dyDescent="0.3">
      <c r="F1346" s="7">
        <v>44512</v>
      </c>
      <c r="G1346" s="8" t="s">
        <v>17</v>
      </c>
      <c r="H1346" s="8" t="s">
        <v>18</v>
      </c>
      <c r="I1346" s="8" t="s">
        <v>28</v>
      </c>
      <c r="J1346" s="8" t="s">
        <v>27</v>
      </c>
      <c r="K1346" s="9">
        <v>2</v>
      </c>
      <c r="L1346" s="9">
        <v>1575</v>
      </c>
      <c r="M1346" s="9">
        <f t="shared" si="20"/>
        <v>3150</v>
      </c>
    </row>
    <row r="1347" spans="6:13" x14ac:dyDescent="0.3">
      <c r="F1347" s="7">
        <v>44512</v>
      </c>
      <c r="G1347" s="8" t="s">
        <v>19</v>
      </c>
      <c r="H1347" s="8" t="s">
        <v>18</v>
      </c>
      <c r="I1347" s="8" t="s">
        <v>28</v>
      </c>
      <c r="J1347" s="8" t="s">
        <v>27</v>
      </c>
      <c r="K1347" s="9">
        <v>7</v>
      </c>
      <c r="L1347" s="9">
        <v>790</v>
      </c>
      <c r="M1347" s="9">
        <f t="shared" si="20"/>
        <v>5530</v>
      </c>
    </row>
    <row r="1348" spans="6:13" x14ac:dyDescent="0.3">
      <c r="F1348" s="7">
        <v>44512</v>
      </c>
      <c r="G1348" s="8" t="s">
        <v>8</v>
      </c>
      <c r="H1348" s="8" t="s">
        <v>9</v>
      </c>
      <c r="I1348" s="8" t="s">
        <v>29</v>
      </c>
      <c r="J1348" s="8" t="s">
        <v>30</v>
      </c>
      <c r="K1348" s="9">
        <v>6</v>
      </c>
      <c r="L1348" s="9">
        <v>2001</v>
      </c>
      <c r="M1348" s="9">
        <f t="shared" ref="M1348:M1411" si="21">K1348*L1348</f>
        <v>12006</v>
      </c>
    </row>
    <row r="1349" spans="6:13" x14ac:dyDescent="0.3">
      <c r="F1349" s="7">
        <v>44512</v>
      </c>
      <c r="G1349" s="8" t="s">
        <v>12</v>
      </c>
      <c r="H1349" s="8" t="s">
        <v>13</v>
      </c>
      <c r="I1349" s="8" t="s">
        <v>31</v>
      </c>
      <c r="J1349" s="8" t="s">
        <v>30</v>
      </c>
      <c r="K1349" s="9">
        <v>40</v>
      </c>
      <c r="L1349" s="9">
        <v>75</v>
      </c>
      <c r="M1349" s="9">
        <f t="shared" si="21"/>
        <v>3000</v>
      </c>
    </row>
    <row r="1350" spans="6:13" x14ac:dyDescent="0.3">
      <c r="F1350" s="7">
        <v>44512</v>
      </c>
      <c r="G1350" s="8" t="s">
        <v>15</v>
      </c>
      <c r="H1350" s="8" t="s">
        <v>13</v>
      </c>
      <c r="I1350" s="8" t="s">
        <v>31</v>
      </c>
      <c r="J1350" s="8" t="s">
        <v>30</v>
      </c>
      <c r="K1350" s="9">
        <v>7</v>
      </c>
      <c r="L1350" s="9">
        <v>315</v>
      </c>
      <c r="M1350" s="9">
        <f t="shared" si="21"/>
        <v>2205</v>
      </c>
    </row>
    <row r="1351" spans="6:13" x14ac:dyDescent="0.3">
      <c r="F1351" s="7">
        <v>44512</v>
      </c>
      <c r="G1351" s="8" t="s">
        <v>16</v>
      </c>
      <c r="H1351" s="8" t="s">
        <v>9</v>
      </c>
      <c r="I1351" s="8" t="s">
        <v>29</v>
      </c>
      <c r="J1351" s="8" t="s">
        <v>30</v>
      </c>
      <c r="K1351" s="9">
        <v>5</v>
      </c>
      <c r="L1351" s="9">
        <v>1080</v>
      </c>
      <c r="M1351" s="9">
        <f t="shared" si="21"/>
        <v>5400</v>
      </c>
    </row>
    <row r="1352" spans="6:13" x14ac:dyDescent="0.3">
      <c r="F1352" s="7">
        <v>44512</v>
      </c>
      <c r="G1352" s="8" t="s">
        <v>17</v>
      </c>
      <c r="H1352" s="8" t="s">
        <v>18</v>
      </c>
      <c r="I1352" s="8" t="s">
        <v>29</v>
      </c>
      <c r="J1352" s="8" t="s">
        <v>30</v>
      </c>
      <c r="K1352" s="9">
        <v>5</v>
      </c>
      <c r="L1352" s="9">
        <v>1575</v>
      </c>
      <c r="M1352" s="9">
        <f t="shared" si="21"/>
        <v>7875</v>
      </c>
    </row>
    <row r="1353" spans="6:13" x14ac:dyDescent="0.3">
      <c r="F1353" s="7">
        <v>44512</v>
      </c>
      <c r="G1353" s="8" t="s">
        <v>19</v>
      </c>
      <c r="H1353" s="8" t="s">
        <v>18</v>
      </c>
      <c r="I1353" s="8" t="s">
        <v>29</v>
      </c>
      <c r="J1353" s="8" t="s">
        <v>30</v>
      </c>
      <c r="K1353" s="9">
        <v>5</v>
      </c>
      <c r="L1353" s="9">
        <v>790</v>
      </c>
      <c r="M1353" s="9">
        <f t="shared" si="21"/>
        <v>3950</v>
      </c>
    </row>
    <row r="1354" spans="6:13" x14ac:dyDescent="0.3">
      <c r="F1354" s="7">
        <v>44519</v>
      </c>
      <c r="G1354" s="8" t="s">
        <v>8</v>
      </c>
      <c r="H1354" s="8" t="s">
        <v>9</v>
      </c>
      <c r="I1354" s="8" t="s">
        <v>14</v>
      </c>
      <c r="J1354" s="8" t="s">
        <v>11</v>
      </c>
      <c r="K1354" s="9">
        <v>5</v>
      </c>
      <c r="L1354" s="9">
        <v>2001</v>
      </c>
      <c r="M1354" s="9">
        <f t="shared" si="21"/>
        <v>10005</v>
      </c>
    </row>
    <row r="1355" spans="6:13" x14ac:dyDescent="0.3">
      <c r="F1355" s="7">
        <v>44519</v>
      </c>
      <c r="G1355" s="8" t="s">
        <v>12</v>
      </c>
      <c r="H1355" s="8" t="s">
        <v>13</v>
      </c>
      <c r="I1355" s="8" t="s">
        <v>14</v>
      </c>
      <c r="J1355" s="8" t="s">
        <v>11</v>
      </c>
      <c r="K1355" s="9">
        <v>55</v>
      </c>
      <c r="L1355" s="9">
        <v>75</v>
      </c>
      <c r="M1355" s="9">
        <f t="shared" si="21"/>
        <v>4125</v>
      </c>
    </row>
    <row r="1356" spans="6:13" x14ac:dyDescent="0.3">
      <c r="F1356" s="7">
        <v>44519</v>
      </c>
      <c r="G1356" s="8" t="s">
        <v>15</v>
      </c>
      <c r="H1356" s="8" t="s">
        <v>13</v>
      </c>
      <c r="I1356" s="8" t="s">
        <v>14</v>
      </c>
      <c r="J1356" s="8" t="s">
        <v>11</v>
      </c>
      <c r="K1356" s="9">
        <v>6</v>
      </c>
      <c r="L1356" s="9">
        <v>315</v>
      </c>
      <c r="M1356" s="9">
        <f t="shared" si="21"/>
        <v>1890</v>
      </c>
    </row>
    <row r="1357" spans="6:13" x14ac:dyDescent="0.3">
      <c r="F1357" s="7">
        <v>44519</v>
      </c>
      <c r="G1357" s="8" t="s">
        <v>16</v>
      </c>
      <c r="H1357" s="8" t="s">
        <v>9</v>
      </c>
      <c r="I1357" s="8" t="s">
        <v>14</v>
      </c>
      <c r="J1357" s="8" t="s">
        <v>11</v>
      </c>
      <c r="K1357" s="9">
        <v>5</v>
      </c>
      <c r="L1357" s="9">
        <v>1080</v>
      </c>
      <c r="M1357" s="9">
        <f t="shared" si="21"/>
        <v>5400</v>
      </c>
    </row>
    <row r="1358" spans="6:13" x14ac:dyDescent="0.3">
      <c r="F1358" s="7">
        <v>44519</v>
      </c>
      <c r="G1358" s="8" t="s">
        <v>17</v>
      </c>
      <c r="H1358" s="8" t="s">
        <v>18</v>
      </c>
      <c r="I1358" s="8" t="s">
        <v>10</v>
      </c>
      <c r="J1358" s="8" t="s">
        <v>11</v>
      </c>
      <c r="K1358" s="9">
        <v>6</v>
      </c>
      <c r="L1358" s="9">
        <v>1575</v>
      </c>
      <c r="M1358" s="9">
        <f t="shared" si="21"/>
        <v>9450</v>
      </c>
    </row>
    <row r="1359" spans="6:13" x14ac:dyDescent="0.3">
      <c r="F1359" s="7">
        <v>44519</v>
      </c>
      <c r="G1359" s="8" t="s">
        <v>19</v>
      </c>
      <c r="H1359" s="8" t="s">
        <v>18</v>
      </c>
      <c r="I1359" s="8" t="s">
        <v>10</v>
      </c>
      <c r="J1359" s="8" t="s">
        <v>11</v>
      </c>
      <c r="K1359" s="9">
        <v>11</v>
      </c>
      <c r="L1359" s="9">
        <v>790</v>
      </c>
      <c r="M1359" s="9">
        <f t="shared" si="21"/>
        <v>8690</v>
      </c>
    </row>
    <row r="1360" spans="6:13" x14ac:dyDescent="0.3">
      <c r="F1360" s="7">
        <v>44519</v>
      </c>
      <c r="G1360" s="8" t="s">
        <v>8</v>
      </c>
      <c r="H1360" s="8" t="s">
        <v>9</v>
      </c>
      <c r="I1360" s="8" t="s">
        <v>20</v>
      </c>
      <c r="J1360" s="8" t="s">
        <v>21</v>
      </c>
      <c r="K1360" s="9">
        <v>6</v>
      </c>
      <c r="L1360" s="9">
        <v>2001</v>
      </c>
      <c r="M1360" s="9">
        <f t="shared" si="21"/>
        <v>12006</v>
      </c>
    </row>
    <row r="1361" spans="6:13" x14ac:dyDescent="0.3">
      <c r="F1361" s="7">
        <v>44519</v>
      </c>
      <c r="G1361" s="8" t="s">
        <v>12</v>
      </c>
      <c r="H1361" s="8" t="s">
        <v>13</v>
      </c>
      <c r="I1361" s="8" t="s">
        <v>22</v>
      </c>
      <c r="J1361" s="8" t="s">
        <v>21</v>
      </c>
      <c r="K1361" s="9">
        <v>55</v>
      </c>
      <c r="L1361" s="9">
        <v>75</v>
      </c>
      <c r="M1361" s="9">
        <f t="shared" si="21"/>
        <v>4125</v>
      </c>
    </row>
    <row r="1362" spans="6:13" x14ac:dyDescent="0.3">
      <c r="F1362" s="7">
        <v>44519</v>
      </c>
      <c r="G1362" s="8" t="s">
        <v>15</v>
      </c>
      <c r="H1362" s="8" t="s">
        <v>13</v>
      </c>
      <c r="I1362" s="8" t="s">
        <v>22</v>
      </c>
      <c r="J1362" s="8" t="s">
        <v>21</v>
      </c>
      <c r="K1362" s="9">
        <v>12</v>
      </c>
      <c r="L1362" s="9">
        <v>315</v>
      </c>
      <c r="M1362" s="9">
        <f t="shared" si="21"/>
        <v>3780</v>
      </c>
    </row>
    <row r="1363" spans="6:13" x14ac:dyDescent="0.3">
      <c r="F1363" s="7">
        <v>44519</v>
      </c>
      <c r="G1363" s="8" t="s">
        <v>16</v>
      </c>
      <c r="H1363" s="8" t="s">
        <v>9</v>
      </c>
      <c r="I1363" s="8" t="s">
        <v>20</v>
      </c>
      <c r="J1363" s="8" t="s">
        <v>21</v>
      </c>
      <c r="K1363" s="9">
        <v>6</v>
      </c>
      <c r="L1363" s="9">
        <v>1080</v>
      </c>
      <c r="M1363" s="9">
        <f t="shared" si="21"/>
        <v>6480</v>
      </c>
    </row>
    <row r="1364" spans="6:13" x14ac:dyDescent="0.3">
      <c r="F1364" s="7">
        <v>44519</v>
      </c>
      <c r="G1364" s="8" t="s">
        <v>17</v>
      </c>
      <c r="H1364" s="8" t="s">
        <v>18</v>
      </c>
      <c r="I1364" s="8" t="s">
        <v>20</v>
      </c>
      <c r="J1364" s="8" t="s">
        <v>21</v>
      </c>
      <c r="K1364" s="9">
        <v>2</v>
      </c>
      <c r="L1364" s="9">
        <v>1575</v>
      </c>
      <c r="M1364" s="9">
        <f t="shared" si="21"/>
        <v>3150</v>
      </c>
    </row>
    <row r="1365" spans="6:13" x14ac:dyDescent="0.3">
      <c r="F1365" s="7">
        <v>44519</v>
      </c>
      <c r="G1365" s="8" t="s">
        <v>19</v>
      </c>
      <c r="H1365" s="8" t="s">
        <v>18</v>
      </c>
      <c r="I1365" s="8" t="s">
        <v>20</v>
      </c>
      <c r="J1365" s="8" t="s">
        <v>21</v>
      </c>
      <c r="K1365" s="9">
        <v>9</v>
      </c>
      <c r="L1365" s="9">
        <v>790</v>
      </c>
      <c r="M1365" s="9">
        <f t="shared" si="21"/>
        <v>7110</v>
      </c>
    </row>
    <row r="1366" spans="6:13" x14ac:dyDescent="0.3">
      <c r="F1366" s="7">
        <v>44519</v>
      </c>
      <c r="G1366" s="8" t="s">
        <v>8</v>
      </c>
      <c r="H1366" s="8" t="s">
        <v>9</v>
      </c>
      <c r="I1366" s="8" t="s">
        <v>23</v>
      </c>
      <c r="J1366" s="8" t="s">
        <v>24</v>
      </c>
      <c r="K1366" s="9">
        <v>6</v>
      </c>
      <c r="L1366" s="9">
        <v>2001</v>
      </c>
      <c r="M1366" s="9">
        <f t="shared" si="21"/>
        <v>12006</v>
      </c>
    </row>
    <row r="1367" spans="6:13" x14ac:dyDescent="0.3">
      <c r="F1367" s="7">
        <v>44519</v>
      </c>
      <c r="G1367" s="8" t="s">
        <v>12</v>
      </c>
      <c r="H1367" s="8" t="s">
        <v>13</v>
      </c>
      <c r="I1367" s="8" t="s">
        <v>23</v>
      </c>
      <c r="J1367" s="8" t="s">
        <v>24</v>
      </c>
      <c r="K1367" s="9">
        <v>24</v>
      </c>
      <c r="L1367" s="9">
        <v>75</v>
      </c>
      <c r="M1367" s="9">
        <f t="shared" si="21"/>
        <v>1800</v>
      </c>
    </row>
    <row r="1368" spans="6:13" x14ac:dyDescent="0.3">
      <c r="F1368" s="7">
        <v>44519</v>
      </c>
      <c r="G1368" s="8" t="s">
        <v>15</v>
      </c>
      <c r="H1368" s="8" t="s">
        <v>13</v>
      </c>
      <c r="I1368" s="8" t="s">
        <v>23</v>
      </c>
      <c r="J1368" s="8" t="s">
        <v>24</v>
      </c>
      <c r="K1368" s="9">
        <v>14</v>
      </c>
      <c r="L1368" s="9">
        <v>315</v>
      </c>
      <c r="M1368" s="9">
        <f t="shared" si="21"/>
        <v>4410</v>
      </c>
    </row>
    <row r="1369" spans="6:13" x14ac:dyDescent="0.3">
      <c r="F1369" s="7">
        <v>44519</v>
      </c>
      <c r="G1369" s="8" t="s">
        <v>16</v>
      </c>
      <c r="H1369" s="8" t="s">
        <v>9</v>
      </c>
      <c r="I1369" s="8" t="s">
        <v>23</v>
      </c>
      <c r="J1369" s="8" t="s">
        <v>24</v>
      </c>
      <c r="K1369" s="9">
        <v>3</v>
      </c>
      <c r="L1369" s="9">
        <v>1080</v>
      </c>
      <c r="M1369" s="9">
        <f t="shared" si="21"/>
        <v>3240</v>
      </c>
    </row>
    <row r="1370" spans="6:13" x14ac:dyDescent="0.3">
      <c r="F1370" s="7">
        <v>44519</v>
      </c>
      <c r="G1370" s="8" t="s">
        <v>17</v>
      </c>
      <c r="H1370" s="8" t="s">
        <v>18</v>
      </c>
      <c r="I1370" s="8" t="s">
        <v>25</v>
      </c>
      <c r="J1370" s="8" t="s">
        <v>24</v>
      </c>
      <c r="K1370" s="9">
        <v>6</v>
      </c>
      <c r="L1370" s="9">
        <v>1575</v>
      </c>
      <c r="M1370" s="9">
        <f t="shared" si="21"/>
        <v>9450</v>
      </c>
    </row>
    <row r="1371" spans="6:13" x14ac:dyDescent="0.3">
      <c r="F1371" s="7">
        <v>44519</v>
      </c>
      <c r="G1371" s="8" t="s">
        <v>19</v>
      </c>
      <c r="H1371" s="8" t="s">
        <v>18</v>
      </c>
      <c r="I1371" s="8" t="s">
        <v>25</v>
      </c>
      <c r="J1371" s="8" t="s">
        <v>24</v>
      </c>
      <c r="K1371" s="9">
        <v>8</v>
      </c>
      <c r="L1371" s="9">
        <v>790</v>
      </c>
      <c r="M1371" s="9">
        <f t="shared" si="21"/>
        <v>6320</v>
      </c>
    </row>
    <row r="1372" spans="6:13" x14ac:dyDescent="0.3">
      <c r="F1372" s="7">
        <v>44519</v>
      </c>
      <c r="G1372" s="8" t="s">
        <v>8</v>
      </c>
      <c r="H1372" s="8" t="s">
        <v>9</v>
      </c>
      <c r="I1372" s="8" t="s">
        <v>26</v>
      </c>
      <c r="J1372" s="8" t="s">
        <v>27</v>
      </c>
      <c r="K1372" s="9">
        <v>5</v>
      </c>
      <c r="L1372" s="9">
        <v>2001</v>
      </c>
      <c r="M1372" s="9">
        <f t="shared" si="21"/>
        <v>10005</v>
      </c>
    </row>
    <row r="1373" spans="6:13" x14ac:dyDescent="0.3">
      <c r="F1373" s="7">
        <v>44519</v>
      </c>
      <c r="G1373" s="8" t="s">
        <v>12</v>
      </c>
      <c r="H1373" s="8" t="s">
        <v>13</v>
      </c>
      <c r="I1373" s="8" t="s">
        <v>26</v>
      </c>
      <c r="J1373" s="8" t="s">
        <v>27</v>
      </c>
      <c r="K1373" s="9">
        <v>36</v>
      </c>
      <c r="L1373" s="9">
        <v>75</v>
      </c>
      <c r="M1373" s="9">
        <f t="shared" si="21"/>
        <v>2700</v>
      </c>
    </row>
    <row r="1374" spans="6:13" x14ac:dyDescent="0.3">
      <c r="F1374" s="7">
        <v>44519</v>
      </c>
      <c r="G1374" s="8" t="s">
        <v>15</v>
      </c>
      <c r="H1374" s="8" t="s">
        <v>13</v>
      </c>
      <c r="I1374" s="8" t="s">
        <v>26</v>
      </c>
      <c r="J1374" s="8" t="s">
        <v>27</v>
      </c>
      <c r="K1374" s="9">
        <v>12</v>
      </c>
      <c r="L1374" s="9">
        <v>315</v>
      </c>
      <c r="M1374" s="9">
        <f t="shared" si="21"/>
        <v>3780</v>
      </c>
    </row>
    <row r="1375" spans="6:13" x14ac:dyDescent="0.3">
      <c r="F1375" s="7">
        <v>44519</v>
      </c>
      <c r="G1375" s="8" t="s">
        <v>16</v>
      </c>
      <c r="H1375" s="8" t="s">
        <v>9</v>
      </c>
      <c r="I1375" s="8" t="s">
        <v>26</v>
      </c>
      <c r="J1375" s="8" t="s">
        <v>27</v>
      </c>
      <c r="K1375" s="9">
        <v>6</v>
      </c>
      <c r="L1375" s="9">
        <v>1080</v>
      </c>
      <c r="M1375" s="9">
        <f t="shared" si="21"/>
        <v>6480</v>
      </c>
    </row>
    <row r="1376" spans="6:13" x14ac:dyDescent="0.3">
      <c r="F1376" s="7">
        <v>44519</v>
      </c>
      <c r="G1376" s="8" t="s">
        <v>17</v>
      </c>
      <c r="H1376" s="8" t="s">
        <v>18</v>
      </c>
      <c r="I1376" s="8" t="s">
        <v>28</v>
      </c>
      <c r="J1376" s="8" t="s">
        <v>27</v>
      </c>
      <c r="K1376" s="9">
        <v>3</v>
      </c>
      <c r="L1376" s="9">
        <v>1575</v>
      </c>
      <c r="M1376" s="9">
        <f t="shared" si="21"/>
        <v>4725</v>
      </c>
    </row>
    <row r="1377" spans="6:13" x14ac:dyDescent="0.3">
      <c r="F1377" s="7">
        <v>44519</v>
      </c>
      <c r="G1377" s="8" t="s">
        <v>19</v>
      </c>
      <c r="H1377" s="8" t="s">
        <v>18</v>
      </c>
      <c r="I1377" s="8" t="s">
        <v>28</v>
      </c>
      <c r="J1377" s="8" t="s">
        <v>27</v>
      </c>
      <c r="K1377" s="9">
        <v>6</v>
      </c>
      <c r="L1377" s="9">
        <v>790</v>
      </c>
      <c r="M1377" s="9">
        <f t="shared" si="21"/>
        <v>4740</v>
      </c>
    </row>
    <row r="1378" spans="6:13" x14ac:dyDescent="0.3">
      <c r="F1378" s="7">
        <v>44519</v>
      </c>
      <c r="G1378" s="8" t="s">
        <v>8</v>
      </c>
      <c r="H1378" s="8" t="s">
        <v>9</v>
      </c>
      <c r="I1378" s="8" t="s">
        <v>29</v>
      </c>
      <c r="J1378" s="8" t="s">
        <v>30</v>
      </c>
      <c r="K1378" s="9">
        <v>6</v>
      </c>
      <c r="L1378" s="9">
        <v>2001</v>
      </c>
      <c r="M1378" s="9">
        <f t="shared" si="21"/>
        <v>12006</v>
      </c>
    </row>
    <row r="1379" spans="6:13" x14ac:dyDescent="0.3">
      <c r="F1379" s="7">
        <v>44519</v>
      </c>
      <c r="G1379" s="8" t="s">
        <v>12</v>
      </c>
      <c r="H1379" s="8" t="s">
        <v>13</v>
      </c>
      <c r="I1379" s="8" t="s">
        <v>31</v>
      </c>
      <c r="J1379" s="8" t="s">
        <v>30</v>
      </c>
      <c r="K1379" s="9">
        <v>48</v>
      </c>
      <c r="L1379" s="9">
        <v>75</v>
      </c>
      <c r="M1379" s="9">
        <f t="shared" si="21"/>
        <v>3600</v>
      </c>
    </row>
    <row r="1380" spans="6:13" x14ac:dyDescent="0.3">
      <c r="F1380" s="7">
        <v>44519</v>
      </c>
      <c r="G1380" s="8" t="s">
        <v>15</v>
      </c>
      <c r="H1380" s="8" t="s">
        <v>13</v>
      </c>
      <c r="I1380" s="8" t="s">
        <v>31</v>
      </c>
      <c r="J1380" s="8" t="s">
        <v>30</v>
      </c>
      <c r="K1380" s="9">
        <v>5</v>
      </c>
      <c r="L1380" s="9">
        <v>315</v>
      </c>
      <c r="M1380" s="9">
        <f t="shared" si="21"/>
        <v>1575</v>
      </c>
    </row>
    <row r="1381" spans="6:13" x14ac:dyDescent="0.3">
      <c r="F1381" s="7">
        <v>44519</v>
      </c>
      <c r="G1381" s="8" t="s">
        <v>16</v>
      </c>
      <c r="H1381" s="8" t="s">
        <v>9</v>
      </c>
      <c r="I1381" s="8" t="s">
        <v>29</v>
      </c>
      <c r="J1381" s="8" t="s">
        <v>30</v>
      </c>
      <c r="K1381" s="9">
        <v>3</v>
      </c>
      <c r="L1381" s="9">
        <v>1080</v>
      </c>
      <c r="M1381" s="9">
        <f t="shared" si="21"/>
        <v>3240</v>
      </c>
    </row>
    <row r="1382" spans="6:13" x14ac:dyDescent="0.3">
      <c r="F1382" s="7">
        <v>44519</v>
      </c>
      <c r="G1382" s="8" t="s">
        <v>17</v>
      </c>
      <c r="H1382" s="8" t="s">
        <v>18</v>
      </c>
      <c r="I1382" s="8" t="s">
        <v>29</v>
      </c>
      <c r="J1382" s="8" t="s">
        <v>30</v>
      </c>
      <c r="K1382" s="9">
        <v>6</v>
      </c>
      <c r="L1382" s="9">
        <v>1575</v>
      </c>
      <c r="M1382" s="9">
        <f t="shared" si="21"/>
        <v>9450</v>
      </c>
    </row>
    <row r="1383" spans="6:13" x14ac:dyDescent="0.3">
      <c r="F1383" s="7">
        <v>44519</v>
      </c>
      <c r="G1383" s="8" t="s">
        <v>19</v>
      </c>
      <c r="H1383" s="8" t="s">
        <v>18</v>
      </c>
      <c r="I1383" s="8" t="s">
        <v>29</v>
      </c>
      <c r="J1383" s="8" t="s">
        <v>30</v>
      </c>
      <c r="K1383" s="9">
        <v>10</v>
      </c>
      <c r="L1383" s="9">
        <v>790</v>
      </c>
      <c r="M1383" s="9">
        <f t="shared" si="21"/>
        <v>7900</v>
      </c>
    </row>
    <row r="1384" spans="6:13" x14ac:dyDescent="0.3">
      <c r="F1384" s="7">
        <v>44526</v>
      </c>
      <c r="G1384" s="8" t="s">
        <v>8</v>
      </c>
      <c r="H1384" s="8" t="s">
        <v>9</v>
      </c>
      <c r="I1384" s="8" t="s">
        <v>14</v>
      </c>
      <c r="J1384" s="8" t="s">
        <v>11</v>
      </c>
      <c r="K1384" s="9">
        <v>3</v>
      </c>
      <c r="L1384" s="9">
        <v>2001</v>
      </c>
      <c r="M1384" s="9">
        <f t="shared" si="21"/>
        <v>6003</v>
      </c>
    </row>
    <row r="1385" spans="6:13" x14ac:dyDescent="0.3">
      <c r="F1385" s="7">
        <v>44526</v>
      </c>
      <c r="G1385" s="8" t="s">
        <v>12</v>
      </c>
      <c r="H1385" s="8" t="s">
        <v>13</v>
      </c>
      <c r="I1385" s="8" t="s">
        <v>14</v>
      </c>
      <c r="J1385" s="8" t="s">
        <v>11</v>
      </c>
      <c r="K1385" s="9">
        <v>46</v>
      </c>
      <c r="L1385" s="9">
        <v>75</v>
      </c>
      <c r="M1385" s="9">
        <f t="shared" si="21"/>
        <v>3450</v>
      </c>
    </row>
    <row r="1386" spans="6:13" x14ac:dyDescent="0.3">
      <c r="F1386" s="7">
        <v>44526</v>
      </c>
      <c r="G1386" s="8" t="s">
        <v>15</v>
      </c>
      <c r="H1386" s="8" t="s">
        <v>13</v>
      </c>
      <c r="I1386" s="8" t="s">
        <v>14</v>
      </c>
      <c r="J1386" s="8" t="s">
        <v>11</v>
      </c>
      <c r="K1386" s="9">
        <v>10</v>
      </c>
      <c r="L1386" s="9">
        <v>315</v>
      </c>
      <c r="M1386" s="9">
        <f t="shared" si="21"/>
        <v>3150</v>
      </c>
    </row>
    <row r="1387" spans="6:13" x14ac:dyDescent="0.3">
      <c r="F1387" s="7">
        <v>44526</v>
      </c>
      <c r="G1387" s="8" t="s">
        <v>16</v>
      </c>
      <c r="H1387" s="8" t="s">
        <v>9</v>
      </c>
      <c r="I1387" s="8" t="s">
        <v>14</v>
      </c>
      <c r="J1387" s="8" t="s">
        <v>11</v>
      </c>
      <c r="K1387" s="9">
        <v>3</v>
      </c>
      <c r="L1387" s="9">
        <v>1080</v>
      </c>
      <c r="M1387" s="9">
        <f t="shared" si="21"/>
        <v>3240</v>
      </c>
    </row>
    <row r="1388" spans="6:13" x14ac:dyDescent="0.3">
      <c r="F1388" s="7">
        <v>44526</v>
      </c>
      <c r="G1388" s="8" t="s">
        <v>17</v>
      </c>
      <c r="H1388" s="8" t="s">
        <v>18</v>
      </c>
      <c r="I1388" s="8" t="s">
        <v>10</v>
      </c>
      <c r="J1388" s="8" t="s">
        <v>11</v>
      </c>
      <c r="K1388" s="9">
        <v>4</v>
      </c>
      <c r="L1388" s="9">
        <v>1575</v>
      </c>
      <c r="M1388" s="9">
        <f t="shared" si="21"/>
        <v>6300</v>
      </c>
    </row>
    <row r="1389" spans="6:13" x14ac:dyDescent="0.3">
      <c r="F1389" s="7">
        <v>44526</v>
      </c>
      <c r="G1389" s="8" t="s">
        <v>19</v>
      </c>
      <c r="H1389" s="8" t="s">
        <v>18</v>
      </c>
      <c r="I1389" s="8" t="s">
        <v>10</v>
      </c>
      <c r="J1389" s="8" t="s">
        <v>11</v>
      </c>
      <c r="K1389" s="9">
        <v>9</v>
      </c>
      <c r="L1389" s="9">
        <v>790</v>
      </c>
      <c r="M1389" s="9">
        <f t="shared" si="21"/>
        <v>7110</v>
      </c>
    </row>
    <row r="1390" spans="6:13" x14ac:dyDescent="0.3">
      <c r="F1390" s="7">
        <v>44526</v>
      </c>
      <c r="G1390" s="8" t="s">
        <v>8</v>
      </c>
      <c r="H1390" s="8" t="s">
        <v>9</v>
      </c>
      <c r="I1390" s="8" t="s">
        <v>20</v>
      </c>
      <c r="J1390" s="8" t="s">
        <v>21</v>
      </c>
      <c r="K1390" s="9">
        <v>3</v>
      </c>
      <c r="L1390" s="9">
        <v>2001</v>
      </c>
      <c r="M1390" s="9">
        <f t="shared" si="21"/>
        <v>6003</v>
      </c>
    </row>
    <row r="1391" spans="6:13" x14ac:dyDescent="0.3">
      <c r="F1391" s="7">
        <v>44526</v>
      </c>
      <c r="G1391" s="8" t="s">
        <v>12</v>
      </c>
      <c r="H1391" s="8" t="s">
        <v>13</v>
      </c>
      <c r="I1391" s="8" t="s">
        <v>22</v>
      </c>
      <c r="J1391" s="8" t="s">
        <v>21</v>
      </c>
      <c r="K1391" s="9">
        <v>65</v>
      </c>
      <c r="L1391" s="9">
        <v>75</v>
      </c>
      <c r="M1391" s="9">
        <f t="shared" si="21"/>
        <v>4875</v>
      </c>
    </row>
    <row r="1392" spans="6:13" x14ac:dyDescent="0.3">
      <c r="F1392" s="7">
        <v>44526</v>
      </c>
      <c r="G1392" s="8" t="s">
        <v>15</v>
      </c>
      <c r="H1392" s="8" t="s">
        <v>13</v>
      </c>
      <c r="I1392" s="8" t="s">
        <v>22</v>
      </c>
      <c r="J1392" s="8" t="s">
        <v>21</v>
      </c>
      <c r="K1392" s="9">
        <v>12</v>
      </c>
      <c r="L1392" s="9">
        <v>315</v>
      </c>
      <c r="M1392" s="9">
        <f t="shared" si="21"/>
        <v>3780</v>
      </c>
    </row>
    <row r="1393" spans="6:13" x14ac:dyDescent="0.3">
      <c r="F1393" s="7">
        <v>44526</v>
      </c>
      <c r="G1393" s="8" t="s">
        <v>16</v>
      </c>
      <c r="H1393" s="8" t="s">
        <v>9</v>
      </c>
      <c r="I1393" s="8" t="s">
        <v>20</v>
      </c>
      <c r="J1393" s="8" t="s">
        <v>21</v>
      </c>
      <c r="K1393" s="9">
        <v>3</v>
      </c>
      <c r="L1393" s="9">
        <v>1080</v>
      </c>
      <c r="M1393" s="9">
        <f t="shared" si="21"/>
        <v>3240</v>
      </c>
    </row>
    <row r="1394" spans="6:13" x14ac:dyDescent="0.3">
      <c r="F1394" s="7">
        <v>44526</v>
      </c>
      <c r="G1394" s="8" t="s">
        <v>17</v>
      </c>
      <c r="H1394" s="8" t="s">
        <v>18</v>
      </c>
      <c r="I1394" s="8" t="s">
        <v>20</v>
      </c>
      <c r="J1394" s="8" t="s">
        <v>21</v>
      </c>
      <c r="K1394" s="9">
        <v>2</v>
      </c>
      <c r="L1394" s="9">
        <v>1575</v>
      </c>
      <c r="M1394" s="9">
        <f t="shared" si="21"/>
        <v>3150</v>
      </c>
    </row>
    <row r="1395" spans="6:13" x14ac:dyDescent="0.3">
      <c r="F1395" s="7">
        <v>44526</v>
      </c>
      <c r="G1395" s="8" t="s">
        <v>19</v>
      </c>
      <c r="H1395" s="8" t="s">
        <v>18</v>
      </c>
      <c r="I1395" s="8" t="s">
        <v>20</v>
      </c>
      <c r="J1395" s="8" t="s">
        <v>21</v>
      </c>
      <c r="K1395" s="9">
        <v>9</v>
      </c>
      <c r="L1395" s="9">
        <v>790</v>
      </c>
      <c r="M1395" s="9">
        <f t="shared" si="21"/>
        <v>7110</v>
      </c>
    </row>
    <row r="1396" spans="6:13" x14ac:dyDescent="0.3">
      <c r="F1396" s="7">
        <v>44526</v>
      </c>
      <c r="G1396" s="8" t="s">
        <v>8</v>
      </c>
      <c r="H1396" s="8" t="s">
        <v>9</v>
      </c>
      <c r="I1396" s="8" t="s">
        <v>23</v>
      </c>
      <c r="J1396" s="8" t="s">
        <v>24</v>
      </c>
      <c r="K1396" s="9">
        <v>4</v>
      </c>
      <c r="L1396" s="9">
        <v>2001</v>
      </c>
      <c r="M1396" s="9">
        <f t="shared" si="21"/>
        <v>8004</v>
      </c>
    </row>
    <row r="1397" spans="6:13" x14ac:dyDescent="0.3">
      <c r="F1397" s="7">
        <v>44526</v>
      </c>
      <c r="G1397" s="8" t="s">
        <v>12</v>
      </c>
      <c r="H1397" s="8" t="s">
        <v>13</v>
      </c>
      <c r="I1397" s="8" t="s">
        <v>23</v>
      </c>
      <c r="J1397" s="8" t="s">
        <v>24</v>
      </c>
      <c r="K1397" s="9">
        <v>45</v>
      </c>
      <c r="L1397" s="9">
        <v>75</v>
      </c>
      <c r="M1397" s="9">
        <f t="shared" si="21"/>
        <v>3375</v>
      </c>
    </row>
    <row r="1398" spans="6:13" x14ac:dyDescent="0.3">
      <c r="F1398" s="7">
        <v>44526</v>
      </c>
      <c r="G1398" s="8" t="s">
        <v>15</v>
      </c>
      <c r="H1398" s="8" t="s">
        <v>13</v>
      </c>
      <c r="I1398" s="8" t="s">
        <v>23</v>
      </c>
      <c r="J1398" s="8" t="s">
        <v>24</v>
      </c>
      <c r="K1398" s="9">
        <v>11</v>
      </c>
      <c r="L1398" s="9">
        <v>315</v>
      </c>
      <c r="M1398" s="9">
        <f t="shared" si="21"/>
        <v>3465</v>
      </c>
    </row>
    <row r="1399" spans="6:13" x14ac:dyDescent="0.3">
      <c r="F1399" s="7">
        <v>44526</v>
      </c>
      <c r="G1399" s="8" t="s">
        <v>16</v>
      </c>
      <c r="H1399" s="8" t="s">
        <v>9</v>
      </c>
      <c r="I1399" s="8" t="s">
        <v>23</v>
      </c>
      <c r="J1399" s="8" t="s">
        <v>24</v>
      </c>
      <c r="K1399" s="9">
        <v>6</v>
      </c>
      <c r="L1399" s="9">
        <v>1080</v>
      </c>
      <c r="M1399" s="9">
        <f t="shared" si="21"/>
        <v>6480</v>
      </c>
    </row>
    <row r="1400" spans="6:13" x14ac:dyDescent="0.3">
      <c r="F1400" s="7">
        <v>44526</v>
      </c>
      <c r="G1400" s="8" t="s">
        <v>17</v>
      </c>
      <c r="H1400" s="8" t="s">
        <v>18</v>
      </c>
      <c r="I1400" s="8" t="s">
        <v>25</v>
      </c>
      <c r="J1400" s="8" t="s">
        <v>24</v>
      </c>
      <c r="K1400" s="9">
        <v>6</v>
      </c>
      <c r="L1400" s="9">
        <v>1575</v>
      </c>
      <c r="M1400" s="9">
        <f t="shared" si="21"/>
        <v>9450</v>
      </c>
    </row>
    <row r="1401" spans="6:13" x14ac:dyDescent="0.3">
      <c r="F1401" s="7">
        <v>44526</v>
      </c>
      <c r="G1401" s="8" t="s">
        <v>19</v>
      </c>
      <c r="H1401" s="8" t="s">
        <v>18</v>
      </c>
      <c r="I1401" s="8" t="s">
        <v>25</v>
      </c>
      <c r="J1401" s="8" t="s">
        <v>24</v>
      </c>
      <c r="K1401" s="9">
        <v>5</v>
      </c>
      <c r="L1401" s="9">
        <v>790</v>
      </c>
      <c r="M1401" s="9">
        <f t="shared" si="21"/>
        <v>3950</v>
      </c>
    </row>
    <row r="1402" spans="6:13" x14ac:dyDescent="0.3">
      <c r="F1402" s="7">
        <v>44526</v>
      </c>
      <c r="G1402" s="8" t="s">
        <v>8</v>
      </c>
      <c r="H1402" s="8" t="s">
        <v>9</v>
      </c>
      <c r="I1402" s="8" t="s">
        <v>26</v>
      </c>
      <c r="J1402" s="8" t="s">
        <v>27</v>
      </c>
      <c r="K1402" s="9">
        <v>5</v>
      </c>
      <c r="L1402" s="9">
        <v>2001</v>
      </c>
      <c r="M1402" s="9">
        <f t="shared" si="21"/>
        <v>10005</v>
      </c>
    </row>
    <row r="1403" spans="6:13" x14ac:dyDescent="0.3">
      <c r="F1403" s="7">
        <v>44526</v>
      </c>
      <c r="G1403" s="8" t="s">
        <v>12</v>
      </c>
      <c r="H1403" s="8" t="s">
        <v>13</v>
      </c>
      <c r="I1403" s="8" t="s">
        <v>26</v>
      </c>
      <c r="J1403" s="8" t="s">
        <v>27</v>
      </c>
      <c r="K1403" s="9">
        <v>31</v>
      </c>
      <c r="L1403" s="9">
        <v>75</v>
      </c>
      <c r="M1403" s="9">
        <f t="shared" si="21"/>
        <v>2325</v>
      </c>
    </row>
    <row r="1404" spans="6:13" x14ac:dyDescent="0.3">
      <c r="F1404" s="7">
        <v>44526</v>
      </c>
      <c r="G1404" s="8" t="s">
        <v>15</v>
      </c>
      <c r="H1404" s="8" t="s">
        <v>13</v>
      </c>
      <c r="I1404" s="8" t="s">
        <v>26</v>
      </c>
      <c r="J1404" s="8" t="s">
        <v>27</v>
      </c>
      <c r="K1404" s="9">
        <v>8</v>
      </c>
      <c r="L1404" s="9">
        <v>315</v>
      </c>
      <c r="M1404" s="9">
        <f t="shared" si="21"/>
        <v>2520</v>
      </c>
    </row>
    <row r="1405" spans="6:13" x14ac:dyDescent="0.3">
      <c r="F1405" s="7">
        <v>44526</v>
      </c>
      <c r="G1405" s="8" t="s">
        <v>16</v>
      </c>
      <c r="H1405" s="8" t="s">
        <v>9</v>
      </c>
      <c r="I1405" s="8" t="s">
        <v>26</v>
      </c>
      <c r="J1405" s="8" t="s">
        <v>27</v>
      </c>
      <c r="K1405" s="9">
        <v>4</v>
      </c>
      <c r="L1405" s="9">
        <v>1080</v>
      </c>
      <c r="M1405" s="9">
        <f t="shared" si="21"/>
        <v>4320</v>
      </c>
    </row>
    <row r="1406" spans="6:13" x14ac:dyDescent="0.3">
      <c r="F1406" s="7">
        <v>44526</v>
      </c>
      <c r="G1406" s="8" t="s">
        <v>17</v>
      </c>
      <c r="H1406" s="8" t="s">
        <v>18</v>
      </c>
      <c r="I1406" s="8" t="s">
        <v>28</v>
      </c>
      <c r="J1406" s="8" t="s">
        <v>27</v>
      </c>
      <c r="K1406" s="9">
        <v>4</v>
      </c>
      <c r="L1406" s="9">
        <v>1575</v>
      </c>
      <c r="M1406" s="9">
        <f t="shared" si="21"/>
        <v>6300</v>
      </c>
    </row>
    <row r="1407" spans="6:13" x14ac:dyDescent="0.3">
      <c r="F1407" s="7">
        <v>44526</v>
      </c>
      <c r="G1407" s="8" t="s">
        <v>19</v>
      </c>
      <c r="H1407" s="8" t="s">
        <v>18</v>
      </c>
      <c r="I1407" s="8" t="s">
        <v>28</v>
      </c>
      <c r="J1407" s="8" t="s">
        <v>27</v>
      </c>
      <c r="K1407" s="9">
        <v>11</v>
      </c>
      <c r="L1407" s="9">
        <v>790</v>
      </c>
      <c r="M1407" s="9">
        <f t="shared" si="21"/>
        <v>8690</v>
      </c>
    </row>
    <row r="1408" spans="6:13" x14ac:dyDescent="0.3">
      <c r="F1408" s="7">
        <v>44526</v>
      </c>
      <c r="G1408" s="8" t="s">
        <v>8</v>
      </c>
      <c r="H1408" s="8" t="s">
        <v>9</v>
      </c>
      <c r="I1408" s="8" t="s">
        <v>29</v>
      </c>
      <c r="J1408" s="8" t="s">
        <v>30</v>
      </c>
      <c r="K1408" s="9">
        <v>4</v>
      </c>
      <c r="L1408" s="9">
        <v>2001</v>
      </c>
      <c r="M1408" s="9">
        <f t="shared" si="21"/>
        <v>8004</v>
      </c>
    </row>
    <row r="1409" spans="6:13" x14ac:dyDescent="0.3">
      <c r="F1409" s="7">
        <v>44526</v>
      </c>
      <c r="G1409" s="8" t="s">
        <v>12</v>
      </c>
      <c r="H1409" s="8" t="s">
        <v>13</v>
      </c>
      <c r="I1409" s="8" t="s">
        <v>31</v>
      </c>
      <c r="J1409" s="8" t="s">
        <v>30</v>
      </c>
      <c r="K1409" s="9">
        <v>48</v>
      </c>
      <c r="L1409" s="9">
        <v>75</v>
      </c>
      <c r="M1409" s="9">
        <f t="shared" si="21"/>
        <v>3600</v>
      </c>
    </row>
    <row r="1410" spans="6:13" x14ac:dyDescent="0.3">
      <c r="F1410" s="7">
        <v>44526</v>
      </c>
      <c r="G1410" s="8" t="s">
        <v>15</v>
      </c>
      <c r="H1410" s="8" t="s">
        <v>13</v>
      </c>
      <c r="I1410" s="8" t="s">
        <v>31</v>
      </c>
      <c r="J1410" s="8" t="s">
        <v>30</v>
      </c>
      <c r="K1410" s="9">
        <v>11</v>
      </c>
      <c r="L1410" s="9">
        <v>315</v>
      </c>
      <c r="M1410" s="9">
        <f t="shared" si="21"/>
        <v>3465</v>
      </c>
    </row>
    <row r="1411" spans="6:13" x14ac:dyDescent="0.3">
      <c r="F1411" s="7">
        <v>44526</v>
      </c>
      <c r="G1411" s="8" t="s">
        <v>16</v>
      </c>
      <c r="H1411" s="8" t="s">
        <v>9</v>
      </c>
      <c r="I1411" s="8" t="s">
        <v>29</v>
      </c>
      <c r="J1411" s="8" t="s">
        <v>30</v>
      </c>
      <c r="K1411" s="9">
        <v>2</v>
      </c>
      <c r="L1411" s="9">
        <v>1080</v>
      </c>
      <c r="M1411" s="9">
        <f t="shared" si="21"/>
        <v>2160</v>
      </c>
    </row>
    <row r="1412" spans="6:13" x14ac:dyDescent="0.3">
      <c r="F1412" s="7">
        <v>44526</v>
      </c>
      <c r="G1412" s="8" t="s">
        <v>17</v>
      </c>
      <c r="H1412" s="8" t="s">
        <v>18</v>
      </c>
      <c r="I1412" s="8" t="s">
        <v>29</v>
      </c>
      <c r="J1412" s="8" t="s">
        <v>30</v>
      </c>
      <c r="K1412" s="9">
        <v>4</v>
      </c>
      <c r="L1412" s="9">
        <v>1575</v>
      </c>
      <c r="M1412" s="9">
        <f t="shared" ref="M1412:M1475" si="22">K1412*L1412</f>
        <v>6300</v>
      </c>
    </row>
    <row r="1413" spans="6:13" x14ac:dyDescent="0.3">
      <c r="F1413" s="7">
        <v>44526</v>
      </c>
      <c r="G1413" s="8" t="s">
        <v>19</v>
      </c>
      <c r="H1413" s="8" t="s">
        <v>18</v>
      </c>
      <c r="I1413" s="8" t="s">
        <v>29</v>
      </c>
      <c r="J1413" s="8" t="s">
        <v>30</v>
      </c>
      <c r="K1413" s="9">
        <v>10</v>
      </c>
      <c r="L1413" s="9">
        <v>790</v>
      </c>
      <c r="M1413" s="9">
        <f t="shared" si="22"/>
        <v>7900</v>
      </c>
    </row>
    <row r="1414" spans="6:13" x14ac:dyDescent="0.3">
      <c r="F1414" s="7">
        <v>44533</v>
      </c>
      <c r="G1414" s="8" t="s">
        <v>8</v>
      </c>
      <c r="H1414" s="8" t="s">
        <v>9</v>
      </c>
      <c r="I1414" s="8" t="s">
        <v>14</v>
      </c>
      <c r="J1414" s="8" t="s">
        <v>11</v>
      </c>
      <c r="K1414" s="9">
        <v>3</v>
      </c>
      <c r="L1414" s="9">
        <v>2001</v>
      </c>
      <c r="M1414" s="9">
        <f t="shared" si="22"/>
        <v>6003</v>
      </c>
    </row>
    <row r="1415" spans="6:13" x14ac:dyDescent="0.3">
      <c r="F1415" s="7">
        <v>44533</v>
      </c>
      <c r="G1415" s="8" t="s">
        <v>12</v>
      </c>
      <c r="H1415" s="8" t="s">
        <v>13</v>
      </c>
      <c r="I1415" s="8" t="s">
        <v>14</v>
      </c>
      <c r="J1415" s="8" t="s">
        <v>11</v>
      </c>
      <c r="K1415" s="9">
        <v>38</v>
      </c>
      <c r="L1415" s="9">
        <v>75</v>
      </c>
      <c r="M1415" s="9">
        <f t="shared" si="22"/>
        <v>2850</v>
      </c>
    </row>
    <row r="1416" spans="6:13" x14ac:dyDescent="0.3">
      <c r="F1416" s="7">
        <v>44533</v>
      </c>
      <c r="G1416" s="8" t="s">
        <v>15</v>
      </c>
      <c r="H1416" s="8" t="s">
        <v>13</v>
      </c>
      <c r="I1416" s="8" t="s">
        <v>14</v>
      </c>
      <c r="J1416" s="8" t="s">
        <v>11</v>
      </c>
      <c r="K1416" s="9">
        <v>13</v>
      </c>
      <c r="L1416" s="9">
        <v>315</v>
      </c>
      <c r="M1416" s="9">
        <f t="shared" si="22"/>
        <v>4095</v>
      </c>
    </row>
    <row r="1417" spans="6:13" x14ac:dyDescent="0.3">
      <c r="F1417" s="7">
        <v>44533</v>
      </c>
      <c r="G1417" s="8" t="s">
        <v>16</v>
      </c>
      <c r="H1417" s="8" t="s">
        <v>9</v>
      </c>
      <c r="I1417" s="8" t="s">
        <v>14</v>
      </c>
      <c r="J1417" s="8" t="s">
        <v>11</v>
      </c>
      <c r="K1417" s="9">
        <v>5</v>
      </c>
      <c r="L1417" s="9">
        <v>1080</v>
      </c>
      <c r="M1417" s="9">
        <f t="shared" si="22"/>
        <v>5400</v>
      </c>
    </row>
    <row r="1418" spans="6:13" x14ac:dyDescent="0.3">
      <c r="F1418" s="7">
        <v>44533</v>
      </c>
      <c r="G1418" s="8" t="s">
        <v>17</v>
      </c>
      <c r="H1418" s="8" t="s">
        <v>18</v>
      </c>
      <c r="I1418" s="8" t="s">
        <v>10</v>
      </c>
      <c r="J1418" s="8" t="s">
        <v>11</v>
      </c>
      <c r="K1418" s="9">
        <v>4</v>
      </c>
      <c r="L1418" s="9">
        <v>1575</v>
      </c>
      <c r="M1418" s="9">
        <f t="shared" si="22"/>
        <v>6300</v>
      </c>
    </row>
    <row r="1419" spans="6:13" x14ac:dyDescent="0.3">
      <c r="F1419" s="7">
        <v>44533</v>
      </c>
      <c r="G1419" s="8" t="s">
        <v>19</v>
      </c>
      <c r="H1419" s="8" t="s">
        <v>18</v>
      </c>
      <c r="I1419" s="8" t="s">
        <v>10</v>
      </c>
      <c r="J1419" s="8" t="s">
        <v>11</v>
      </c>
      <c r="K1419" s="9">
        <v>10</v>
      </c>
      <c r="L1419" s="9">
        <v>790</v>
      </c>
      <c r="M1419" s="9">
        <f t="shared" si="22"/>
        <v>7900</v>
      </c>
    </row>
    <row r="1420" spans="6:13" x14ac:dyDescent="0.3">
      <c r="F1420" s="7">
        <v>44533</v>
      </c>
      <c r="G1420" s="8" t="s">
        <v>8</v>
      </c>
      <c r="H1420" s="8" t="s">
        <v>9</v>
      </c>
      <c r="I1420" s="8" t="s">
        <v>20</v>
      </c>
      <c r="J1420" s="8" t="s">
        <v>21</v>
      </c>
      <c r="K1420" s="9">
        <v>6</v>
      </c>
      <c r="L1420" s="9">
        <v>2001</v>
      </c>
      <c r="M1420" s="9">
        <f t="shared" si="22"/>
        <v>12006</v>
      </c>
    </row>
    <row r="1421" spans="6:13" x14ac:dyDescent="0.3">
      <c r="F1421" s="7">
        <v>44533</v>
      </c>
      <c r="G1421" s="8" t="s">
        <v>12</v>
      </c>
      <c r="H1421" s="8" t="s">
        <v>13</v>
      </c>
      <c r="I1421" s="8" t="s">
        <v>22</v>
      </c>
      <c r="J1421" s="8" t="s">
        <v>21</v>
      </c>
      <c r="K1421" s="9">
        <v>66</v>
      </c>
      <c r="L1421" s="9">
        <v>75</v>
      </c>
      <c r="M1421" s="9">
        <f t="shared" si="22"/>
        <v>4950</v>
      </c>
    </row>
    <row r="1422" spans="6:13" x14ac:dyDescent="0.3">
      <c r="F1422" s="7">
        <v>44533</v>
      </c>
      <c r="G1422" s="8" t="s">
        <v>15</v>
      </c>
      <c r="H1422" s="8" t="s">
        <v>13</v>
      </c>
      <c r="I1422" s="8" t="s">
        <v>22</v>
      </c>
      <c r="J1422" s="8" t="s">
        <v>21</v>
      </c>
      <c r="K1422" s="9">
        <v>11</v>
      </c>
      <c r="L1422" s="9">
        <v>315</v>
      </c>
      <c r="M1422" s="9">
        <f t="shared" si="22"/>
        <v>3465</v>
      </c>
    </row>
    <row r="1423" spans="6:13" x14ac:dyDescent="0.3">
      <c r="F1423" s="7">
        <v>44533</v>
      </c>
      <c r="G1423" s="8" t="s">
        <v>16</v>
      </c>
      <c r="H1423" s="8" t="s">
        <v>9</v>
      </c>
      <c r="I1423" s="8" t="s">
        <v>20</v>
      </c>
      <c r="J1423" s="8" t="s">
        <v>21</v>
      </c>
      <c r="K1423" s="9">
        <v>5</v>
      </c>
      <c r="L1423" s="9">
        <v>1080</v>
      </c>
      <c r="M1423" s="9">
        <f t="shared" si="22"/>
        <v>5400</v>
      </c>
    </row>
    <row r="1424" spans="6:13" x14ac:dyDescent="0.3">
      <c r="F1424" s="7">
        <v>44533</v>
      </c>
      <c r="G1424" s="8" t="s">
        <v>17</v>
      </c>
      <c r="H1424" s="8" t="s">
        <v>18</v>
      </c>
      <c r="I1424" s="8" t="s">
        <v>20</v>
      </c>
      <c r="J1424" s="8" t="s">
        <v>21</v>
      </c>
      <c r="K1424" s="9">
        <v>4</v>
      </c>
      <c r="L1424" s="9">
        <v>1575</v>
      </c>
      <c r="M1424" s="9">
        <f t="shared" si="22"/>
        <v>6300</v>
      </c>
    </row>
    <row r="1425" spans="6:13" x14ac:dyDescent="0.3">
      <c r="F1425" s="7">
        <v>44533</v>
      </c>
      <c r="G1425" s="8" t="s">
        <v>19</v>
      </c>
      <c r="H1425" s="8" t="s">
        <v>18</v>
      </c>
      <c r="I1425" s="8" t="s">
        <v>20</v>
      </c>
      <c r="J1425" s="8" t="s">
        <v>21</v>
      </c>
      <c r="K1425" s="9">
        <v>5</v>
      </c>
      <c r="L1425" s="9">
        <v>790</v>
      </c>
      <c r="M1425" s="9">
        <f t="shared" si="22"/>
        <v>3950</v>
      </c>
    </row>
    <row r="1426" spans="6:13" x14ac:dyDescent="0.3">
      <c r="F1426" s="7">
        <v>44533</v>
      </c>
      <c r="G1426" s="8" t="s">
        <v>8</v>
      </c>
      <c r="H1426" s="8" t="s">
        <v>9</v>
      </c>
      <c r="I1426" s="8" t="s">
        <v>23</v>
      </c>
      <c r="J1426" s="8" t="s">
        <v>24</v>
      </c>
      <c r="K1426" s="9">
        <v>4</v>
      </c>
      <c r="L1426" s="9">
        <v>2001</v>
      </c>
      <c r="M1426" s="9">
        <f t="shared" si="22"/>
        <v>8004</v>
      </c>
    </row>
    <row r="1427" spans="6:13" x14ac:dyDescent="0.3">
      <c r="F1427" s="7">
        <v>44533</v>
      </c>
      <c r="G1427" s="8" t="s">
        <v>12</v>
      </c>
      <c r="H1427" s="8" t="s">
        <v>13</v>
      </c>
      <c r="I1427" s="8" t="s">
        <v>23</v>
      </c>
      <c r="J1427" s="8" t="s">
        <v>24</v>
      </c>
      <c r="K1427" s="9">
        <v>25</v>
      </c>
      <c r="L1427" s="9">
        <v>75</v>
      </c>
      <c r="M1427" s="9">
        <f t="shared" si="22"/>
        <v>1875</v>
      </c>
    </row>
    <row r="1428" spans="6:13" x14ac:dyDescent="0.3">
      <c r="F1428" s="7">
        <v>44533</v>
      </c>
      <c r="G1428" s="8" t="s">
        <v>15</v>
      </c>
      <c r="H1428" s="8" t="s">
        <v>13</v>
      </c>
      <c r="I1428" s="8" t="s">
        <v>23</v>
      </c>
      <c r="J1428" s="8" t="s">
        <v>24</v>
      </c>
      <c r="K1428" s="9">
        <v>11</v>
      </c>
      <c r="L1428" s="9">
        <v>315</v>
      </c>
      <c r="M1428" s="9">
        <f t="shared" si="22"/>
        <v>3465</v>
      </c>
    </row>
    <row r="1429" spans="6:13" x14ac:dyDescent="0.3">
      <c r="F1429" s="7">
        <v>44533</v>
      </c>
      <c r="G1429" s="8" t="s">
        <v>16</v>
      </c>
      <c r="H1429" s="8" t="s">
        <v>9</v>
      </c>
      <c r="I1429" s="8" t="s">
        <v>23</v>
      </c>
      <c r="J1429" s="8" t="s">
        <v>24</v>
      </c>
      <c r="K1429" s="9">
        <v>4</v>
      </c>
      <c r="L1429" s="9">
        <v>1080</v>
      </c>
      <c r="M1429" s="9">
        <f t="shared" si="22"/>
        <v>4320</v>
      </c>
    </row>
    <row r="1430" spans="6:13" x14ac:dyDescent="0.3">
      <c r="F1430" s="7">
        <v>44533</v>
      </c>
      <c r="G1430" s="8" t="s">
        <v>17</v>
      </c>
      <c r="H1430" s="8" t="s">
        <v>18</v>
      </c>
      <c r="I1430" s="8" t="s">
        <v>25</v>
      </c>
      <c r="J1430" s="8" t="s">
        <v>24</v>
      </c>
      <c r="K1430" s="9">
        <v>3</v>
      </c>
      <c r="L1430" s="9">
        <v>1575</v>
      </c>
      <c r="M1430" s="9">
        <f t="shared" si="22"/>
        <v>4725</v>
      </c>
    </row>
    <row r="1431" spans="6:13" x14ac:dyDescent="0.3">
      <c r="F1431" s="7">
        <v>44533</v>
      </c>
      <c r="G1431" s="8" t="s">
        <v>19</v>
      </c>
      <c r="H1431" s="8" t="s">
        <v>18</v>
      </c>
      <c r="I1431" s="8" t="s">
        <v>25</v>
      </c>
      <c r="J1431" s="8" t="s">
        <v>24</v>
      </c>
      <c r="K1431" s="9">
        <v>8</v>
      </c>
      <c r="L1431" s="9">
        <v>790</v>
      </c>
      <c r="M1431" s="9">
        <f t="shared" si="22"/>
        <v>6320</v>
      </c>
    </row>
    <row r="1432" spans="6:13" x14ac:dyDescent="0.3">
      <c r="F1432" s="7">
        <v>44533</v>
      </c>
      <c r="G1432" s="8" t="s">
        <v>8</v>
      </c>
      <c r="H1432" s="8" t="s">
        <v>9</v>
      </c>
      <c r="I1432" s="8" t="s">
        <v>26</v>
      </c>
      <c r="J1432" s="8" t="s">
        <v>27</v>
      </c>
      <c r="K1432" s="9">
        <v>6</v>
      </c>
      <c r="L1432" s="9">
        <v>2001</v>
      </c>
      <c r="M1432" s="9">
        <f t="shared" si="22"/>
        <v>12006</v>
      </c>
    </row>
    <row r="1433" spans="6:13" x14ac:dyDescent="0.3">
      <c r="F1433" s="7">
        <v>44533</v>
      </c>
      <c r="G1433" s="8" t="s">
        <v>12</v>
      </c>
      <c r="H1433" s="8" t="s">
        <v>13</v>
      </c>
      <c r="I1433" s="8" t="s">
        <v>26</v>
      </c>
      <c r="J1433" s="8" t="s">
        <v>27</v>
      </c>
      <c r="K1433" s="9">
        <v>53</v>
      </c>
      <c r="L1433" s="9">
        <v>75</v>
      </c>
      <c r="M1433" s="9">
        <f t="shared" si="22"/>
        <v>3975</v>
      </c>
    </row>
    <row r="1434" spans="6:13" x14ac:dyDescent="0.3">
      <c r="F1434" s="7">
        <v>44533</v>
      </c>
      <c r="G1434" s="8" t="s">
        <v>15</v>
      </c>
      <c r="H1434" s="8" t="s">
        <v>13</v>
      </c>
      <c r="I1434" s="8" t="s">
        <v>26</v>
      </c>
      <c r="J1434" s="8" t="s">
        <v>27</v>
      </c>
      <c r="K1434" s="9">
        <v>5</v>
      </c>
      <c r="L1434" s="9">
        <v>315</v>
      </c>
      <c r="M1434" s="9">
        <f t="shared" si="22"/>
        <v>1575</v>
      </c>
    </row>
    <row r="1435" spans="6:13" x14ac:dyDescent="0.3">
      <c r="F1435" s="7">
        <v>44533</v>
      </c>
      <c r="G1435" s="8" t="s">
        <v>16</v>
      </c>
      <c r="H1435" s="8" t="s">
        <v>9</v>
      </c>
      <c r="I1435" s="8" t="s">
        <v>26</v>
      </c>
      <c r="J1435" s="8" t="s">
        <v>27</v>
      </c>
      <c r="K1435" s="9">
        <v>6</v>
      </c>
      <c r="L1435" s="9">
        <v>1080</v>
      </c>
      <c r="M1435" s="9">
        <f t="shared" si="22"/>
        <v>6480</v>
      </c>
    </row>
    <row r="1436" spans="6:13" x14ac:dyDescent="0.3">
      <c r="F1436" s="7">
        <v>44533</v>
      </c>
      <c r="G1436" s="8" t="s">
        <v>17</v>
      </c>
      <c r="H1436" s="8" t="s">
        <v>18</v>
      </c>
      <c r="I1436" s="8" t="s">
        <v>28</v>
      </c>
      <c r="J1436" s="8" t="s">
        <v>27</v>
      </c>
      <c r="K1436" s="9">
        <v>4</v>
      </c>
      <c r="L1436" s="9">
        <v>1575</v>
      </c>
      <c r="M1436" s="9">
        <f t="shared" si="22"/>
        <v>6300</v>
      </c>
    </row>
    <row r="1437" spans="6:13" x14ac:dyDescent="0.3">
      <c r="F1437" s="7">
        <v>44533</v>
      </c>
      <c r="G1437" s="8" t="s">
        <v>19</v>
      </c>
      <c r="H1437" s="8" t="s">
        <v>18</v>
      </c>
      <c r="I1437" s="8" t="s">
        <v>28</v>
      </c>
      <c r="J1437" s="8" t="s">
        <v>27</v>
      </c>
      <c r="K1437" s="9">
        <v>10</v>
      </c>
      <c r="L1437" s="9">
        <v>790</v>
      </c>
      <c r="M1437" s="9">
        <f t="shared" si="22"/>
        <v>7900</v>
      </c>
    </row>
    <row r="1438" spans="6:13" x14ac:dyDescent="0.3">
      <c r="F1438" s="7">
        <v>44533</v>
      </c>
      <c r="G1438" s="8" t="s">
        <v>8</v>
      </c>
      <c r="H1438" s="8" t="s">
        <v>9</v>
      </c>
      <c r="I1438" s="8" t="s">
        <v>29</v>
      </c>
      <c r="J1438" s="8" t="s">
        <v>30</v>
      </c>
      <c r="K1438" s="9">
        <v>4</v>
      </c>
      <c r="L1438" s="9">
        <v>2001</v>
      </c>
      <c r="M1438" s="9">
        <f t="shared" si="22"/>
        <v>8004</v>
      </c>
    </row>
    <row r="1439" spans="6:13" x14ac:dyDescent="0.3">
      <c r="F1439" s="7">
        <v>44533</v>
      </c>
      <c r="G1439" s="8" t="s">
        <v>12</v>
      </c>
      <c r="H1439" s="8" t="s">
        <v>13</v>
      </c>
      <c r="I1439" s="8" t="s">
        <v>31</v>
      </c>
      <c r="J1439" s="8" t="s">
        <v>30</v>
      </c>
      <c r="K1439" s="9">
        <v>31</v>
      </c>
      <c r="L1439" s="9">
        <v>75</v>
      </c>
      <c r="M1439" s="9">
        <f t="shared" si="22"/>
        <v>2325</v>
      </c>
    </row>
    <row r="1440" spans="6:13" x14ac:dyDescent="0.3">
      <c r="F1440" s="7">
        <v>44533</v>
      </c>
      <c r="G1440" s="8" t="s">
        <v>15</v>
      </c>
      <c r="H1440" s="8" t="s">
        <v>13</v>
      </c>
      <c r="I1440" s="8" t="s">
        <v>31</v>
      </c>
      <c r="J1440" s="8" t="s">
        <v>30</v>
      </c>
      <c r="K1440" s="9">
        <v>5</v>
      </c>
      <c r="L1440" s="9">
        <v>315</v>
      </c>
      <c r="M1440" s="9">
        <f t="shared" si="22"/>
        <v>1575</v>
      </c>
    </row>
    <row r="1441" spans="6:13" x14ac:dyDescent="0.3">
      <c r="F1441" s="7">
        <v>44533</v>
      </c>
      <c r="G1441" s="8" t="s">
        <v>16</v>
      </c>
      <c r="H1441" s="8" t="s">
        <v>9</v>
      </c>
      <c r="I1441" s="8" t="s">
        <v>29</v>
      </c>
      <c r="J1441" s="8" t="s">
        <v>30</v>
      </c>
      <c r="K1441" s="9">
        <v>2</v>
      </c>
      <c r="L1441" s="9">
        <v>1080</v>
      </c>
      <c r="M1441" s="9">
        <f t="shared" si="22"/>
        <v>2160</v>
      </c>
    </row>
    <row r="1442" spans="6:13" x14ac:dyDescent="0.3">
      <c r="F1442" s="7">
        <v>44533</v>
      </c>
      <c r="G1442" s="8" t="s">
        <v>17</v>
      </c>
      <c r="H1442" s="8" t="s">
        <v>18</v>
      </c>
      <c r="I1442" s="8" t="s">
        <v>29</v>
      </c>
      <c r="J1442" s="8" t="s">
        <v>30</v>
      </c>
      <c r="K1442" s="9">
        <v>5</v>
      </c>
      <c r="L1442" s="9">
        <v>1575</v>
      </c>
      <c r="M1442" s="9">
        <f t="shared" si="22"/>
        <v>7875</v>
      </c>
    </row>
    <row r="1443" spans="6:13" x14ac:dyDescent="0.3">
      <c r="F1443" s="7">
        <v>44533</v>
      </c>
      <c r="G1443" s="8" t="s">
        <v>19</v>
      </c>
      <c r="H1443" s="8" t="s">
        <v>18</v>
      </c>
      <c r="I1443" s="8" t="s">
        <v>29</v>
      </c>
      <c r="J1443" s="8" t="s">
        <v>30</v>
      </c>
      <c r="K1443" s="9">
        <v>11</v>
      </c>
      <c r="L1443" s="9">
        <v>790</v>
      </c>
      <c r="M1443" s="9">
        <f t="shared" si="22"/>
        <v>8690</v>
      </c>
    </row>
    <row r="1444" spans="6:13" x14ac:dyDescent="0.3">
      <c r="F1444" s="7">
        <v>44540</v>
      </c>
      <c r="G1444" s="8" t="s">
        <v>8</v>
      </c>
      <c r="H1444" s="8" t="s">
        <v>9</v>
      </c>
      <c r="I1444" s="8" t="s">
        <v>14</v>
      </c>
      <c r="J1444" s="8" t="s">
        <v>11</v>
      </c>
      <c r="K1444" s="9">
        <v>6</v>
      </c>
      <c r="L1444" s="9">
        <v>2001</v>
      </c>
      <c r="M1444" s="9">
        <f t="shared" si="22"/>
        <v>12006</v>
      </c>
    </row>
    <row r="1445" spans="6:13" x14ac:dyDescent="0.3">
      <c r="F1445" s="7">
        <v>44540</v>
      </c>
      <c r="G1445" s="8" t="s">
        <v>12</v>
      </c>
      <c r="H1445" s="8" t="s">
        <v>13</v>
      </c>
      <c r="I1445" s="8" t="s">
        <v>14</v>
      </c>
      <c r="J1445" s="8" t="s">
        <v>11</v>
      </c>
      <c r="K1445" s="9">
        <v>57</v>
      </c>
      <c r="L1445" s="9">
        <v>75</v>
      </c>
      <c r="M1445" s="9">
        <f t="shared" si="22"/>
        <v>4275</v>
      </c>
    </row>
    <row r="1446" spans="6:13" x14ac:dyDescent="0.3">
      <c r="F1446" s="7">
        <v>44540</v>
      </c>
      <c r="G1446" s="8" t="s">
        <v>15</v>
      </c>
      <c r="H1446" s="8" t="s">
        <v>13</v>
      </c>
      <c r="I1446" s="8" t="s">
        <v>14</v>
      </c>
      <c r="J1446" s="8" t="s">
        <v>11</v>
      </c>
      <c r="K1446" s="9">
        <v>10</v>
      </c>
      <c r="L1446" s="9">
        <v>315</v>
      </c>
      <c r="M1446" s="9">
        <f t="shared" si="22"/>
        <v>3150</v>
      </c>
    </row>
    <row r="1447" spans="6:13" x14ac:dyDescent="0.3">
      <c r="F1447" s="7">
        <v>44540</v>
      </c>
      <c r="G1447" s="8" t="s">
        <v>16</v>
      </c>
      <c r="H1447" s="8" t="s">
        <v>9</v>
      </c>
      <c r="I1447" s="8" t="s">
        <v>14</v>
      </c>
      <c r="J1447" s="8" t="s">
        <v>11</v>
      </c>
      <c r="K1447" s="9">
        <v>5</v>
      </c>
      <c r="L1447" s="9">
        <v>1080</v>
      </c>
      <c r="M1447" s="9">
        <f t="shared" si="22"/>
        <v>5400</v>
      </c>
    </row>
    <row r="1448" spans="6:13" x14ac:dyDescent="0.3">
      <c r="F1448" s="7">
        <v>44540</v>
      </c>
      <c r="G1448" s="8" t="s">
        <v>17</v>
      </c>
      <c r="H1448" s="8" t="s">
        <v>18</v>
      </c>
      <c r="I1448" s="8" t="s">
        <v>10</v>
      </c>
      <c r="J1448" s="8" t="s">
        <v>11</v>
      </c>
      <c r="K1448" s="9">
        <v>5</v>
      </c>
      <c r="L1448" s="9">
        <v>1575</v>
      </c>
      <c r="M1448" s="9">
        <f t="shared" si="22"/>
        <v>7875</v>
      </c>
    </row>
    <row r="1449" spans="6:13" x14ac:dyDescent="0.3">
      <c r="F1449" s="7">
        <v>44540</v>
      </c>
      <c r="G1449" s="8" t="s">
        <v>19</v>
      </c>
      <c r="H1449" s="8" t="s">
        <v>18</v>
      </c>
      <c r="I1449" s="8" t="s">
        <v>10</v>
      </c>
      <c r="J1449" s="8" t="s">
        <v>11</v>
      </c>
      <c r="K1449" s="9">
        <v>8</v>
      </c>
      <c r="L1449" s="9">
        <v>790</v>
      </c>
      <c r="M1449" s="9">
        <f t="shared" si="22"/>
        <v>6320</v>
      </c>
    </row>
    <row r="1450" spans="6:13" x14ac:dyDescent="0.3">
      <c r="F1450" s="7">
        <v>44540</v>
      </c>
      <c r="G1450" s="8" t="s">
        <v>8</v>
      </c>
      <c r="H1450" s="8" t="s">
        <v>9</v>
      </c>
      <c r="I1450" s="8" t="s">
        <v>20</v>
      </c>
      <c r="J1450" s="8" t="s">
        <v>21</v>
      </c>
      <c r="K1450" s="9">
        <v>5</v>
      </c>
      <c r="L1450" s="9">
        <v>2001</v>
      </c>
      <c r="M1450" s="9">
        <f t="shared" si="22"/>
        <v>10005</v>
      </c>
    </row>
    <row r="1451" spans="6:13" x14ac:dyDescent="0.3">
      <c r="F1451" s="7">
        <v>44540</v>
      </c>
      <c r="G1451" s="8" t="s">
        <v>12</v>
      </c>
      <c r="H1451" s="8" t="s">
        <v>13</v>
      </c>
      <c r="I1451" s="8" t="s">
        <v>22</v>
      </c>
      <c r="J1451" s="8" t="s">
        <v>21</v>
      </c>
      <c r="K1451" s="9">
        <v>67</v>
      </c>
      <c r="L1451" s="9">
        <v>75</v>
      </c>
      <c r="M1451" s="9">
        <f t="shared" si="22"/>
        <v>5025</v>
      </c>
    </row>
    <row r="1452" spans="6:13" x14ac:dyDescent="0.3">
      <c r="F1452" s="7">
        <v>44540</v>
      </c>
      <c r="G1452" s="8" t="s">
        <v>15</v>
      </c>
      <c r="H1452" s="8" t="s">
        <v>13</v>
      </c>
      <c r="I1452" s="8" t="s">
        <v>22</v>
      </c>
      <c r="J1452" s="8" t="s">
        <v>21</v>
      </c>
      <c r="K1452" s="9">
        <v>23</v>
      </c>
      <c r="L1452" s="9">
        <v>315</v>
      </c>
      <c r="M1452" s="9">
        <f t="shared" si="22"/>
        <v>7245</v>
      </c>
    </row>
    <row r="1453" spans="6:13" x14ac:dyDescent="0.3">
      <c r="F1453" s="7">
        <v>44540</v>
      </c>
      <c r="G1453" s="8" t="s">
        <v>16</v>
      </c>
      <c r="H1453" s="8" t="s">
        <v>9</v>
      </c>
      <c r="I1453" s="8" t="s">
        <v>20</v>
      </c>
      <c r="J1453" s="8" t="s">
        <v>21</v>
      </c>
      <c r="K1453" s="9">
        <v>5</v>
      </c>
      <c r="L1453" s="9">
        <v>1080</v>
      </c>
      <c r="M1453" s="9">
        <f t="shared" si="22"/>
        <v>5400</v>
      </c>
    </row>
    <row r="1454" spans="6:13" x14ac:dyDescent="0.3">
      <c r="F1454" s="7">
        <v>44540</v>
      </c>
      <c r="G1454" s="8" t="s">
        <v>17</v>
      </c>
      <c r="H1454" s="8" t="s">
        <v>18</v>
      </c>
      <c r="I1454" s="8" t="s">
        <v>20</v>
      </c>
      <c r="J1454" s="8" t="s">
        <v>21</v>
      </c>
      <c r="K1454" s="9">
        <v>6</v>
      </c>
      <c r="L1454" s="9">
        <v>1575</v>
      </c>
      <c r="M1454" s="9">
        <f t="shared" si="22"/>
        <v>9450</v>
      </c>
    </row>
    <row r="1455" spans="6:13" x14ac:dyDescent="0.3">
      <c r="F1455" s="7">
        <v>44540</v>
      </c>
      <c r="G1455" s="8" t="s">
        <v>19</v>
      </c>
      <c r="H1455" s="8" t="s">
        <v>18</v>
      </c>
      <c r="I1455" s="8" t="s">
        <v>20</v>
      </c>
      <c r="J1455" s="8" t="s">
        <v>21</v>
      </c>
      <c r="K1455" s="9">
        <v>8</v>
      </c>
      <c r="L1455" s="9">
        <v>790</v>
      </c>
      <c r="M1455" s="9">
        <f t="shared" si="22"/>
        <v>6320</v>
      </c>
    </row>
    <row r="1456" spans="6:13" x14ac:dyDescent="0.3">
      <c r="F1456" s="7">
        <v>44540</v>
      </c>
      <c r="G1456" s="8" t="s">
        <v>8</v>
      </c>
      <c r="H1456" s="8" t="s">
        <v>9</v>
      </c>
      <c r="I1456" s="8" t="s">
        <v>23</v>
      </c>
      <c r="J1456" s="8" t="s">
        <v>24</v>
      </c>
      <c r="K1456" s="9">
        <v>6</v>
      </c>
      <c r="L1456" s="9">
        <v>2001</v>
      </c>
      <c r="M1456" s="9">
        <f t="shared" si="22"/>
        <v>12006</v>
      </c>
    </row>
    <row r="1457" spans="6:13" x14ac:dyDescent="0.3">
      <c r="F1457" s="7">
        <v>44540</v>
      </c>
      <c r="G1457" s="8" t="s">
        <v>12</v>
      </c>
      <c r="H1457" s="8" t="s">
        <v>13</v>
      </c>
      <c r="I1457" s="8" t="s">
        <v>23</v>
      </c>
      <c r="J1457" s="8" t="s">
        <v>24</v>
      </c>
      <c r="K1457" s="9">
        <v>41</v>
      </c>
      <c r="L1457" s="9">
        <v>75</v>
      </c>
      <c r="M1457" s="9">
        <f t="shared" si="22"/>
        <v>3075</v>
      </c>
    </row>
    <row r="1458" spans="6:13" x14ac:dyDescent="0.3">
      <c r="F1458" s="7">
        <v>44540</v>
      </c>
      <c r="G1458" s="8" t="s">
        <v>15</v>
      </c>
      <c r="H1458" s="8" t="s">
        <v>13</v>
      </c>
      <c r="I1458" s="8" t="s">
        <v>23</v>
      </c>
      <c r="J1458" s="8" t="s">
        <v>24</v>
      </c>
      <c r="K1458" s="9">
        <v>5</v>
      </c>
      <c r="L1458" s="9">
        <v>315</v>
      </c>
      <c r="M1458" s="9">
        <f t="shared" si="22"/>
        <v>1575</v>
      </c>
    </row>
    <row r="1459" spans="6:13" x14ac:dyDescent="0.3">
      <c r="F1459" s="7">
        <v>44540</v>
      </c>
      <c r="G1459" s="8" t="s">
        <v>16</v>
      </c>
      <c r="H1459" s="8" t="s">
        <v>9</v>
      </c>
      <c r="I1459" s="8" t="s">
        <v>23</v>
      </c>
      <c r="J1459" s="8" t="s">
        <v>24</v>
      </c>
      <c r="K1459" s="9">
        <v>6</v>
      </c>
      <c r="L1459" s="9">
        <v>1080</v>
      </c>
      <c r="M1459" s="9">
        <f t="shared" si="22"/>
        <v>6480</v>
      </c>
    </row>
    <row r="1460" spans="6:13" x14ac:dyDescent="0.3">
      <c r="F1460" s="7">
        <v>44540</v>
      </c>
      <c r="G1460" s="8" t="s">
        <v>17</v>
      </c>
      <c r="H1460" s="8" t="s">
        <v>18</v>
      </c>
      <c r="I1460" s="8" t="s">
        <v>25</v>
      </c>
      <c r="J1460" s="8" t="s">
        <v>24</v>
      </c>
      <c r="K1460" s="9">
        <v>4</v>
      </c>
      <c r="L1460" s="9">
        <v>1575</v>
      </c>
      <c r="M1460" s="9">
        <f t="shared" si="22"/>
        <v>6300</v>
      </c>
    </row>
    <row r="1461" spans="6:13" x14ac:dyDescent="0.3">
      <c r="F1461" s="7">
        <v>44540</v>
      </c>
      <c r="G1461" s="8" t="s">
        <v>19</v>
      </c>
      <c r="H1461" s="8" t="s">
        <v>18</v>
      </c>
      <c r="I1461" s="8" t="s">
        <v>25</v>
      </c>
      <c r="J1461" s="8" t="s">
        <v>24</v>
      </c>
      <c r="K1461" s="9">
        <v>5</v>
      </c>
      <c r="L1461" s="9">
        <v>790</v>
      </c>
      <c r="M1461" s="9">
        <f t="shared" si="22"/>
        <v>3950</v>
      </c>
    </row>
    <row r="1462" spans="6:13" x14ac:dyDescent="0.3">
      <c r="F1462" s="7">
        <v>44540</v>
      </c>
      <c r="G1462" s="8" t="s">
        <v>8</v>
      </c>
      <c r="H1462" s="8" t="s">
        <v>9</v>
      </c>
      <c r="I1462" s="8" t="s">
        <v>26</v>
      </c>
      <c r="J1462" s="8" t="s">
        <v>27</v>
      </c>
      <c r="K1462" s="9">
        <v>6</v>
      </c>
      <c r="L1462" s="9">
        <v>2001</v>
      </c>
      <c r="M1462" s="9">
        <f t="shared" si="22"/>
        <v>12006</v>
      </c>
    </row>
    <row r="1463" spans="6:13" x14ac:dyDescent="0.3">
      <c r="F1463" s="7">
        <v>44540</v>
      </c>
      <c r="G1463" s="8" t="s">
        <v>12</v>
      </c>
      <c r="H1463" s="8" t="s">
        <v>13</v>
      </c>
      <c r="I1463" s="8" t="s">
        <v>26</v>
      </c>
      <c r="J1463" s="8" t="s">
        <v>27</v>
      </c>
      <c r="K1463" s="9">
        <v>50</v>
      </c>
      <c r="L1463" s="9">
        <v>75</v>
      </c>
      <c r="M1463" s="9">
        <f t="shared" si="22"/>
        <v>3750</v>
      </c>
    </row>
    <row r="1464" spans="6:13" x14ac:dyDescent="0.3">
      <c r="F1464" s="7">
        <v>44540</v>
      </c>
      <c r="G1464" s="8" t="s">
        <v>15</v>
      </c>
      <c r="H1464" s="8" t="s">
        <v>13</v>
      </c>
      <c r="I1464" s="8" t="s">
        <v>26</v>
      </c>
      <c r="J1464" s="8" t="s">
        <v>27</v>
      </c>
      <c r="K1464" s="9">
        <v>5</v>
      </c>
      <c r="L1464" s="9">
        <v>315</v>
      </c>
      <c r="M1464" s="9">
        <f t="shared" si="22"/>
        <v>1575</v>
      </c>
    </row>
    <row r="1465" spans="6:13" x14ac:dyDescent="0.3">
      <c r="F1465" s="7">
        <v>44540</v>
      </c>
      <c r="G1465" s="8" t="s">
        <v>16</v>
      </c>
      <c r="H1465" s="8" t="s">
        <v>9</v>
      </c>
      <c r="I1465" s="8" t="s">
        <v>26</v>
      </c>
      <c r="J1465" s="8" t="s">
        <v>27</v>
      </c>
      <c r="K1465" s="9">
        <v>4</v>
      </c>
      <c r="L1465" s="9">
        <v>1080</v>
      </c>
      <c r="M1465" s="9">
        <f t="shared" si="22"/>
        <v>4320</v>
      </c>
    </row>
    <row r="1466" spans="6:13" x14ac:dyDescent="0.3">
      <c r="F1466" s="7">
        <v>44540</v>
      </c>
      <c r="G1466" s="8" t="s">
        <v>17</v>
      </c>
      <c r="H1466" s="8" t="s">
        <v>18</v>
      </c>
      <c r="I1466" s="8" t="s">
        <v>28</v>
      </c>
      <c r="J1466" s="8" t="s">
        <v>27</v>
      </c>
      <c r="K1466" s="9">
        <v>2</v>
      </c>
      <c r="L1466" s="9">
        <v>1575</v>
      </c>
      <c r="M1466" s="9">
        <f t="shared" si="22"/>
        <v>3150</v>
      </c>
    </row>
    <row r="1467" spans="6:13" x14ac:dyDescent="0.3">
      <c r="F1467" s="7">
        <v>44540</v>
      </c>
      <c r="G1467" s="8" t="s">
        <v>19</v>
      </c>
      <c r="H1467" s="8" t="s">
        <v>18</v>
      </c>
      <c r="I1467" s="8" t="s">
        <v>28</v>
      </c>
      <c r="J1467" s="8" t="s">
        <v>27</v>
      </c>
      <c r="K1467" s="9">
        <v>8</v>
      </c>
      <c r="L1467" s="9">
        <v>790</v>
      </c>
      <c r="M1467" s="9">
        <f t="shared" si="22"/>
        <v>6320</v>
      </c>
    </row>
    <row r="1468" spans="6:13" x14ac:dyDescent="0.3">
      <c r="F1468" s="7">
        <v>44540</v>
      </c>
      <c r="G1468" s="8" t="s">
        <v>8</v>
      </c>
      <c r="H1468" s="8" t="s">
        <v>9</v>
      </c>
      <c r="I1468" s="8" t="s">
        <v>29</v>
      </c>
      <c r="J1468" s="8" t="s">
        <v>30</v>
      </c>
      <c r="K1468" s="9">
        <v>4</v>
      </c>
      <c r="L1468" s="9">
        <v>2001</v>
      </c>
      <c r="M1468" s="9">
        <f t="shared" si="22"/>
        <v>8004</v>
      </c>
    </row>
    <row r="1469" spans="6:13" x14ac:dyDescent="0.3">
      <c r="F1469" s="7">
        <v>44540</v>
      </c>
      <c r="G1469" s="8" t="s">
        <v>12</v>
      </c>
      <c r="H1469" s="8" t="s">
        <v>13</v>
      </c>
      <c r="I1469" s="8" t="s">
        <v>31</v>
      </c>
      <c r="J1469" s="8" t="s">
        <v>30</v>
      </c>
      <c r="K1469" s="9">
        <v>55</v>
      </c>
      <c r="L1469" s="9">
        <v>75</v>
      </c>
      <c r="M1469" s="9">
        <f t="shared" si="22"/>
        <v>4125</v>
      </c>
    </row>
    <row r="1470" spans="6:13" x14ac:dyDescent="0.3">
      <c r="F1470" s="7">
        <v>44540</v>
      </c>
      <c r="G1470" s="8" t="s">
        <v>15</v>
      </c>
      <c r="H1470" s="8" t="s">
        <v>13</v>
      </c>
      <c r="I1470" s="8" t="s">
        <v>31</v>
      </c>
      <c r="J1470" s="8" t="s">
        <v>30</v>
      </c>
      <c r="K1470" s="9">
        <v>10</v>
      </c>
      <c r="L1470" s="9">
        <v>315</v>
      </c>
      <c r="M1470" s="9">
        <f t="shared" si="22"/>
        <v>3150</v>
      </c>
    </row>
    <row r="1471" spans="6:13" x14ac:dyDescent="0.3">
      <c r="F1471" s="7">
        <v>44540</v>
      </c>
      <c r="G1471" s="8" t="s">
        <v>16</v>
      </c>
      <c r="H1471" s="8" t="s">
        <v>9</v>
      </c>
      <c r="I1471" s="8" t="s">
        <v>29</v>
      </c>
      <c r="J1471" s="8" t="s">
        <v>30</v>
      </c>
      <c r="K1471" s="9">
        <v>3</v>
      </c>
      <c r="L1471" s="9">
        <v>1080</v>
      </c>
      <c r="M1471" s="9">
        <f t="shared" si="22"/>
        <v>3240</v>
      </c>
    </row>
    <row r="1472" spans="6:13" x14ac:dyDescent="0.3">
      <c r="F1472" s="7">
        <v>44540</v>
      </c>
      <c r="G1472" s="8" t="s">
        <v>17</v>
      </c>
      <c r="H1472" s="8" t="s">
        <v>18</v>
      </c>
      <c r="I1472" s="8" t="s">
        <v>29</v>
      </c>
      <c r="J1472" s="8" t="s">
        <v>30</v>
      </c>
      <c r="K1472" s="9">
        <v>5</v>
      </c>
      <c r="L1472" s="9">
        <v>1575</v>
      </c>
      <c r="M1472" s="9">
        <f t="shared" si="22"/>
        <v>7875</v>
      </c>
    </row>
    <row r="1473" spans="6:13" x14ac:dyDescent="0.3">
      <c r="F1473" s="7">
        <v>44540</v>
      </c>
      <c r="G1473" s="8" t="s">
        <v>19</v>
      </c>
      <c r="H1473" s="8" t="s">
        <v>18</v>
      </c>
      <c r="I1473" s="8" t="s">
        <v>29</v>
      </c>
      <c r="J1473" s="8" t="s">
        <v>30</v>
      </c>
      <c r="K1473" s="9">
        <v>9</v>
      </c>
      <c r="L1473" s="9">
        <v>790</v>
      </c>
      <c r="M1473" s="9">
        <f t="shared" si="22"/>
        <v>7110</v>
      </c>
    </row>
    <row r="1474" spans="6:13" x14ac:dyDescent="0.3">
      <c r="F1474" s="7">
        <v>44547</v>
      </c>
      <c r="G1474" s="8" t="s">
        <v>8</v>
      </c>
      <c r="H1474" s="8" t="s">
        <v>9</v>
      </c>
      <c r="I1474" s="8" t="s">
        <v>14</v>
      </c>
      <c r="J1474" s="8" t="s">
        <v>11</v>
      </c>
      <c r="K1474" s="9">
        <v>6</v>
      </c>
      <c r="L1474" s="9">
        <v>2001</v>
      </c>
      <c r="M1474" s="9">
        <f t="shared" si="22"/>
        <v>12006</v>
      </c>
    </row>
    <row r="1475" spans="6:13" x14ac:dyDescent="0.3">
      <c r="F1475" s="7">
        <v>44547</v>
      </c>
      <c r="G1475" s="8" t="s">
        <v>12</v>
      </c>
      <c r="H1475" s="8" t="s">
        <v>13</v>
      </c>
      <c r="I1475" s="8" t="s">
        <v>14</v>
      </c>
      <c r="J1475" s="8" t="s">
        <v>11</v>
      </c>
      <c r="K1475" s="9">
        <v>47</v>
      </c>
      <c r="L1475" s="9">
        <v>75</v>
      </c>
      <c r="M1475" s="9">
        <f t="shared" si="22"/>
        <v>3525</v>
      </c>
    </row>
    <row r="1476" spans="6:13" x14ac:dyDescent="0.3">
      <c r="F1476" s="7">
        <v>44547</v>
      </c>
      <c r="G1476" s="8" t="s">
        <v>15</v>
      </c>
      <c r="H1476" s="8" t="s">
        <v>13</v>
      </c>
      <c r="I1476" s="8" t="s">
        <v>14</v>
      </c>
      <c r="J1476" s="8" t="s">
        <v>11</v>
      </c>
      <c r="K1476" s="9">
        <v>14</v>
      </c>
      <c r="L1476" s="9">
        <v>315</v>
      </c>
      <c r="M1476" s="9">
        <f t="shared" ref="M1476:M1539" si="23">K1476*L1476</f>
        <v>4410</v>
      </c>
    </row>
    <row r="1477" spans="6:13" x14ac:dyDescent="0.3">
      <c r="F1477" s="7">
        <v>44547</v>
      </c>
      <c r="G1477" s="8" t="s">
        <v>16</v>
      </c>
      <c r="H1477" s="8" t="s">
        <v>9</v>
      </c>
      <c r="I1477" s="8" t="s">
        <v>14</v>
      </c>
      <c r="J1477" s="8" t="s">
        <v>11</v>
      </c>
      <c r="K1477" s="9">
        <v>5</v>
      </c>
      <c r="L1477" s="9">
        <v>1080</v>
      </c>
      <c r="M1477" s="9">
        <f t="shared" si="23"/>
        <v>5400</v>
      </c>
    </row>
    <row r="1478" spans="6:13" x14ac:dyDescent="0.3">
      <c r="F1478" s="7">
        <v>44547</v>
      </c>
      <c r="G1478" s="8" t="s">
        <v>17</v>
      </c>
      <c r="H1478" s="8" t="s">
        <v>18</v>
      </c>
      <c r="I1478" s="8" t="s">
        <v>10</v>
      </c>
      <c r="J1478" s="8" t="s">
        <v>11</v>
      </c>
      <c r="K1478" s="9">
        <v>3</v>
      </c>
      <c r="L1478" s="9">
        <v>1575</v>
      </c>
      <c r="M1478" s="9">
        <f t="shared" si="23"/>
        <v>4725</v>
      </c>
    </row>
    <row r="1479" spans="6:13" x14ac:dyDescent="0.3">
      <c r="F1479" s="7">
        <v>44547</v>
      </c>
      <c r="G1479" s="8" t="s">
        <v>19</v>
      </c>
      <c r="H1479" s="8" t="s">
        <v>18</v>
      </c>
      <c r="I1479" s="8" t="s">
        <v>10</v>
      </c>
      <c r="J1479" s="8" t="s">
        <v>11</v>
      </c>
      <c r="K1479" s="9">
        <v>10</v>
      </c>
      <c r="L1479" s="9">
        <v>790</v>
      </c>
      <c r="M1479" s="9">
        <f t="shared" si="23"/>
        <v>7900</v>
      </c>
    </row>
    <row r="1480" spans="6:13" x14ac:dyDescent="0.3">
      <c r="F1480" s="7">
        <v>44547</v>
      </c>
      <c r="G1480" s="8" t="s">
        <v>8</v>
      </c>
      <c r="H1480" s="8" t="s">
        <v>9</v>
      </c>
      <c r="I1480" s="8" t="s">
        <v>20</v>
      </c>
      <c r="J1480" s="8" t="s">
        <v>21</v>
      </c>
      <c r="K1480" s="9">
        <v>6</v>
      </c>
      <c r="L1480" s="9">
        <v>2001</v>
      </c>
      <c r="M1480" s="9">
        <f t="shared" si="23"/>
        <v>12006</v>
      </c>
    </row>
    <row r="1481" spans="6:13" x14ac:dyDescent="0.3">
      <c r="F1481" s="7">
        <v>44547</v>
      </c>
      <c r="G1481" s="8" t="s">
        <v>12</v>
      </c>
      <c r="H1481" s="8" t="s">
        <v>13</v>
      </c>
      <c r="I1481" s="8" t="s">
        <v>22</v>
      </c>
      <c r="J1481" s="8" t="s">
        <v>21</v>
      </c>
      <c r="K1481" s="9">
        <v>66</v>
      </c>
      <c r="L1481" s="9">
        <v>75</v>
      </c>
      <c r="M1481" s="9">
        <f t="shared" si="23"/>
        <v>4950</v>
      </c>
    </row>
    <row r="1482" spans="6:13" x14ac:dyDescent="0.3">
      <c r="F1482" s="7">
        <v>44547</v>
      </c>
      <c r="G1482" s="8" t="s">
        <v>15</v>
      </c>
      <c r="H1482" s="8" t="s">
        <v>13</v>
      </c>
      <c r="I1482" s="8" t="s">
        <v>22</v>
      </c>
      <c r="J1482" s="8" t="s">
        <v>21</v>
      </c>
      <c r="K1482" s="9">
        <v>2</v>
      </c>
      <c r="L1482" s="9">
        <v>315</v>
      </c>
      <c r="M1482" s="9">
        <f t="shared" si="23"/>
        <v>630</v>
      </c>
    </row>
    <row r="1483" spans="6:13" x14ac:dyDescent="0.3">
      <c r="F1483" s="7">
        <v>44547</v>
      </c>
      <c r="G1483" s="8" t="s">
        <v>16</v>
      </c>
      <c r="H1483" s="8" t="s">
        <v>9</v>
      </c>
      <c r="I1483" s="8" t="s">
        <v>20</v>
      </c>
      <c r="J1483" s="8" t="s">
        <v>21</v>
      </c>
      <c r="K1483" s="9">
        <v>4</v>
      </c>
      <c r="L1483" s="9">
        <v>1080</v>
      </c>
      <c r="M1483" s="9">
        <f t="shared" si="23"/>
        <v>4320</v>
      </c>
    </row>
    <row r="1484" spans="6:13" x14ac:dyDescent="0.3">
      <c r="F1484" s="7">
        <v>44547</v>
      </c>
      <c r="G1484" s="8" t="s">
        <v>17</v>
      </c>
      <c r="H1484" s="8" t="s">
        <v>18</v>
      </c>
      <c r="I1484" s="8" t="s">
        <v>22</v>
      </c>
      <c r="J1484" s="8" t="s">
        <v>21</v>
      </c>
      <c r="K1484" s="9">
        <v>4</v>
      </c>
      <c r="L1484" s="9">
        <v>1575</v>
      </c>
      <c r="M1484" s="9">
        <f t="shared" si="23"/>
        <v>6300</v>
      </c>
    </row>
    <row r="1485" spans="6:13" x14ac:dyDescent="0.3">
      <c r="F1485" s="7">
        <v>44547</v>
      </c>
      <c r="G1485" s="8" t="s">
        <v>19</v>
      </c>
      <c r="H1485" s="8" t="s">
        <v>18</v>
      </c>
      <c r="I1485" s="8" t="s">
        <v>22</v>
      </c>
      <c r="J1485" s="8" t="s">
        <v>21</v>
      </c>
      <c r="K1485" s="9">
        <v>5</v>
      </c>
      <c r="L1485" s="9">
        <v>790</v>
      </c>
      <c r="M1485" s="9">
        <f t="shared" si="23"/>
        <v>3950</v>
      </c>
    </row>
    <row r="1486" spans="6:13" x14ac:dyDescent="0.3">
      <c r="F1486" s="7">
        <v>44547</v>
      </c>
      <c r="G1486" s="8" t="s">
        <v>8</v>
      </c>
      <c r="H1486" s="8" t="s">
        <v>9</v>
      </c>
      <c r="I1486" s="8" t="s">
        <v>23</v>
      </c>
      <c r="J1486" s="8" t="s">
        <v>24</v>
      </c>
      <c r="K1486" s="9">
        <v>3</v>
      </c>
      <c r="L1486" s="9">
        <v>2001</v>
      </c>
      <c r="M1486" s="9">
        <f t="shared" si="23"/>
        <v>6003</v>
      </c>
    </row>
    <row r="1487" spans="6:13" x14ac:dyDescent="0.3">
      <c r="F1487" s="7">
        <v>44547</v>
      </c>
      <c r="G1487" s="8" t="s">
        <v>12</v>
      </c>
      <c r="H1487" s="8" t="s">
        <v>13</v>
      </c>
      <c r="I1487" s="8" t="s">
        <v>23</v>
      </c>
      <c r="J1487" s="8" t="s">
        <v>24</v>
      </c>
      <c r="K1487" s="9">
        <v>36</v>
      </c>
      <c r="L1487" s="9">
        <v>75</v>
      </c>
      <c r="M1487" s="9">
        <f t="shared" si="23"/>
        <v>2700</v>
      </c>
    </row>
    <row r="1488" spans="6:13" x14ac:dyDescent="0.3">
      <c r="F1488" s="7">
        <v>44547</v>
      </c>
      <c r="G1488" s="8" t="s">
        <v>15</v>
      </c>
      <c r="H1488" s="8" t="s">
        <v>13</v>
      </c>
      <c r="I1488" s="8" t="s">
        <v>23</v>
      </c>
      <c r="J1488" s="8" t="s">
        <v>24</v>
      </c>
      <c r="K1488" s="9">
        <v>11</v>
      </c>
      <c r="L1488" s="9">
        <v>315</v>
      </c>
      <c r="M1488" s="9">
        <f t="shared" si="23"/>
        <v>3465</v>
      </c>
    </row>
    <row r="1489" spans="6:13" x14ac:dyDescent="0.3">
      <c r="F1489" s="7">
        <v>44547</v>
      </c>
      <c r="G1489" s="8" t="s">
        <v>16</v>
      </c>
      <c r="H1489" s="8" t="s">
        <v>9</v>
      </c>
      <c r="I1489" s="8" t="s">
        <v>23</v>
      </c>
      <c r="J1489" s="8" t="s">
        <v>24</v>
      </c>
      <c r="K1489" s="9">
        <v>6</v>
      </c>
      <c r="L1489" s="9">
        <v>1080</v>
      </c>
      <c r="M1489" s="9">
        <f t="shared" si="23"/>
        <v>6480</v>
      </c>
    </row>
    <row r="1490" spans="6:13" x14ac:dyDescent="0.3">
      <c r="F1490" s="7">
        <v>44547</v>
      </c>
      <c r="G1490" s="8" t="s">
        <v>17</v>
      </c>
      <c r="H1490" s="8" t="s">
        <v>18</v>
      </c>
      <c r="I1490" s="8" t="s">
        <v>25</v>
      </c>
      <c r="J1490" s="8" t="s">
        <v>24</v>
      </c>
      <c r="K1490" s="9">
        <v>5</v>
      </c>
      <c r="L1490" s="9">
        <v>1575</v>
      </c>
      <c r="M1490" s="9">
        <f t="shared" si="23"/>
        <v>7875</v>
      </c>
    </row>
    <row r="1491" spans="6:13" x14ac:dyDescent="0.3">
      <c r="F1491" s="7">
        <v>44547</v>
      </c>
      <c r="G1491" s="8" t="s">
        <v>19</v>
      </c>
      <c r="H1491" s="8" t="s">
        <v>18</v>
      </c>
      <c r="I1491" s="8" t="s">
        <v>25</v>
      </c>
      <c r="J1491" s="8" t="s">
        <v>24</v>
      </c>
      <c r="K1491" s="9">
        <v>11</v>
      </c>
      <c r="L1491" s="9">
        <v>790</v>
      </c>
      <c r="M1491" s="9">
        <f t="shared" si="23"/>
        <v>8690</v>
      </c>
    </row>
    <row r="1492" spans="6:13" x14ac:dyDescent="0.3">
      <c r="F1492" s="7">
        <v>44547</v>
      </c>
      <c r="G1492" s="8" t="s">
        <v>8</v>
      </c>
      <c r="H1492" s="8" t="s">
        <v>9</v>
      </c>
      <c r="I1492" s="8" t="s">
        <v>26</v>
      </c>
      <c r="J1492" s="8" t="s">
        <v>27</v>
      </c>
      <c r="K1492" s="9">
        <v>3</v>
      </c>
      <c r="L1492" s="9">
        <v>2001</v>
      </c>
      <c r="M1492" s="9">
        <f t="shared" si="23"/>
        <v>6003</v>
      </c>
    </row>
    <row r="1493" spans="6:13" x14ac:dyDescent="0.3">
      <c r="F1493" s="7">
        <v>44547</v>
      </c>
      <c r="G1493" s="8" t="s">
        <v>12</v>
      </c>
      <c r="H1493" s="8" t="s">
        <v>13</v>
      </c>
      <c r="I1493" s="8" t="s">
        <v>26</v>
      </c>
      <c r="J1493" s="8" t="s">
        <v>27</v>
      </c>
      <c r="K1493" s="9">
        <v>58</v>
      </c>
      <c r="L1493" s="9">
        <v>75</v>
      </c>
      <c r="M1493" s="9">
        <f t="shared" si="23"/>
        <v>4350</v>
      </c>
    </row>
    <row r="1494" spans="6:13" x14ac:dyDescent="0.3">
      <c r="F1494" s="7">
        <v>44547</v>
      </c>
      <c r="G1494" s="8" t="s">
        <v>15</v>
      </c>
      <c r="H1494" s="8" t="s">
        <v>13</v>
      </c>
      <c r="I1494" s="8" t="s">
        <v>26</v>
      </c>
      <c r="J1494" s="8" t="s">
        <v>27</v>
      </c>
      <c r="K1494" s="9">
        <v>9</v>
      </c>
      <c r="L1494" s="9">
        <v>315</v>
      </c>
      <c r="M1494" s="9">
        <f t="shared" si="23"/>
        <v>2835</v>
      </c>
    </row>
    <row r="1495" spans="6:13" x14ac:dyDescent="0.3">
      <c r="F1495" s="7">
        <v>44547</v>
      </c>
      <c r="G1495" s="8" t="s">
        <v>16</v>
      </c>
      <c r="H1495" s="8" t="s">
        <v>9</v>
      </c>
      <c r="I1495" s="8" t="s">
        <v>26</v>
      </c>
      <c r="J1495" s="8" t="s">
        <v>27</v>
      </c>
      <c r="K1495" s="9">
        <v>6</v>
      </c>
      <c r="L1495" s="9">
        <v>1080</v>
      </c>
      <c r="M1495" s="9">
        <f t="shared" si="23"/>
        <v>6480</v>
      </c>
    </row>
    <row r="1496" spans="6:13" x14ac:dyDescent="0.3">
      <c r="F1496" s="7">
        <v>44547</v>
      </c>
      <c r="G1496" s="8" t="s">
        <v>17</v>
      </c>
      <c r="H1496" s="8" t="s">
        <v>18</v>
      </c>
      <c r="I1496" s="8" t="s">
        <v>28</v>
      </c>
      <c r="J1496" s="8" t="s">
        <v>27</v>
      </c>
      <c r="K1496" s="9">
        <v>6</v>
      </c>
      <c r="L1496" s="9">
        <v>1575</v>
      </c>
      <c r="M1496" s="9">
        <f t="shared" si="23"/>
        <v>9450</v>
      </c>
    </row>
    <row r="1497" spans="6:13" x14ac:dyDescent="0.3">
      <c r="F1497" s="7">
        <v>44547</v>
      </c>
      <c r="G1497" s="8" t="s">
        <v>19</v>
      </c>
      <c r="H1497" s="8" t="s">
        <v>18</v>
      </c>
      <c r="I1497" s="8" t="s">
        <v>28</v>
      </c>
      <c r="J1497" s="8" t="s">
        <v>27</v>
      </c>
      <c r="K1497" s="9">
        <v>10</v>
      </c>
      <c r="L1497" s="9">
        <v>790</v>
      </c>
      <c r="M1497" s="9">
        <f t="shared" si="23"/>
        <v>7900</v>
      </c>
    </row>
    <row r="1498" spans="6:13" x14ac:dyDescent="0.3">
      <c r="F1498" s="7">
        <v>44547</v>
      </c>
      <c r="G1498" s="8" t="s">
        <v>8</v>
      </c>
      <c r="H1498" s="8" t="s">
        <v>9</v>
      </c>
      <c r="I1498" s="8" t="s">
        <v>29</v>
      </c>
      <c r="J1498" s="8" t="s">
        <v>30</v>
      </c>
      <c r="K1498" s="9">
        <v>6</v>
      </c>
      <c r="L1498" s="9">
        <v>2001</v>
      </c>
      <c r="M1498" s="9">
        <f t="shared" si="23"/>
        <v>12006</v>
      </c>
    </row>
    <row r="1499" spans="6:13" x14ac:dyDescent="0.3">
      <c r="F1499" s="7">
        <v>44547</v>
      </c>
      <c r="G1499" s="8" t="s">
        <v>12</v>
      </c>
      <c r="H1499" s="8" t="s">
        <v>13</v>
      </c>
      <c r="I1499" s="8" t="s">
        <v>31</v>
      </c>
      <c r="J1499" s="8" t="s">
        <v>30</v>
      </c>
      <c r="K1499" s="9">
        <v>36</v>
      </c>
      <c r="L1499" s="9">
        <v>75</v>
      </c>
      <c r="M1499" s="9">
        <f t="shared" si="23"/>
        <v>2700</v>
      </c>
    </row>
    <row r="1500" spans="6:13" x14ac:dyDescent="0.3">
      <c r="F1500" s="7">
        <v>44547</v>
      </c>
      <c r="G1500" s="8" t="s">
        <v>15</v>
      </c>
      <c r="H1500" s="8" t="s">
        <v>13</v>
      </c>
      <c r="I1500" s="8" t="s">
        <v>31</v>
      </c>
      <c r="J1500" s="8" t="s">
        <v>30</v>
      </c>
      <c r="K1500" s="9">
        <v>9</v>
      </c>
      <c r="L1500" s="9">
        <v>315</v>
      </c>
      <c r="M1500" s="9">
        <f t="shared" si="23"/>
        <v>2835</v>
      </c>
    </row>
    <row r="1501" spans="6:13" x14ac:dyDescent="0.3">
      <c r="F1501" s="7">
        <v>44547</v>
      </c>
      <c r="G1501" s="8" t="s">
        <v>16</v>
      </c>
      <c r="H1501" s="8" t="s">
        <v>9</v>
      </c>
      <c r="I1501" s="8" t="s">
        <v>29</v>
      </c>
      <c r="J1501" s="8" t="s">
        <v>30</v>
      </c>
      <c r="K1501" s="9">
        <v>5</v>
      </c>
      <c r="L1501" s="9">
        <v>1080</v>
      </c>
      <c r="M1501" s="9">
        <f t="shared" si="23"/>
        <v>5400</v>
      </c>
    </row>
    <row r="1502" spans="6:13" x14ac:dyDescent="0.3">
      <c r="F1502" s="7">
        <v>44547</v>
      </c>
      <c r="G1502" s="8" t="s">
        <v>17</v>
      </c>
      <c r="H1502" s="8" t="s">
        <v>18</v>
      </c>
      <c r="I1502" s="8" t="s">
        <v>31</v>
      </c>
      <c r="J1502" s="8" t="s">
        <v>30</v>
      </c>
      <c r="K1502" s="9">
        <v>6</v>
      </c>
      <c r="L1502" s="9">
        <v>1575</v>
      </c>
      <c r="M1502" s="9">
        <f t="shared" si="23"/>
        <v>9450</v>
      </c>
    </row>
    <row r="1503" spans="6:13" x14ac:dyDescent="0.3">
      <c r="F1503" s="7">
        <v>44547</v>
      </c>
      <c r="G1503" s="8" t="s">
        <v>19</v>
      </c>
      <c r="H1503" s="8" t="s">
        <v>18</v>
      </c>
      <c r="I1503" s="8" t="s">
        <v>31</v>
      </c>
      <c r="J1503" s="8" t="s">
        <v>30</v>
      </c>
      <c r="K1503" s="9">
        <v>6</v>
      </c>
      <c r="L1503" s="9">
        <v>790</v>
      </c>
      <c r="M1503" s="9">
        <f t="shared" si="23"/>
        <v>4740</v>
      </c>
    </row>
    <row r="1504" spans="6:13" x14ac:dyDescent="0.3">
      <c r="F1504" s="7">
        <v>44554</v>
      </c>
      <c r="G1504" s="8" t="s">
        <v>8</v>
      </c>
      <c r="H1504" s="8" t="s">
        <v>9</v>
      </c>
      <c r="I1504" s="8" t="s">
        <v>14</v>
      </c>
      <c r="J1504" s="8" t="s">
        <v>11</v>
      </c>
      <c r="K1504" s="9">
        <v>3</v>
      </c>
      <c r="L1504" s="9">
        <v>2001</v>
      </c>
      <c r="M1504" s="9">
        <f t="shared" si="23"/>
        <v>6003</v>
      </c>
    </row>
    <row r="1505" spans="6:13" x14ac:dyDescent="0.3">
      <c r="F1505" s="7">
        <v>44554</v>
      </c>
      <c r="G1505" s="8" t="s">
        <v>12</v>
      </c>
      <c r="H1505" s="8" t="s">
        <v>13</v>
      </c>
      <c r="I1505" s="8" t="s">
        <v>14</v>
      </c>
      <c r="J1505" s="8" t="s">
        <v>11</v>
      </c>
      <c r="K1505" s="9">
        <v>60</v>
      </c>
      <c r="L1505" s="9">
        <v>75</v>
      </c>
      <c r="M1505" s="9">
        <f t="shared" si="23"/>
        <v>4500</v>
      </c>
    </row>
    <row r="1506" spans="6:13" x14ac:dyDescent="0.3">
      <c r="F1506" s="7">
        <v>44554</v>
      </c>
      <c r="G1506" s="8" t="s">
        <v>15</v>
      </c>
      <c r="H1506" s="8" t="s">
        <v>13</v>
      </c>
      <c r="I1506" s="8" t="s">
        <v>14</v>
      </c>
      <c r="J1506" s="8" t="s">
        <v>11</v>
      </c>
      <c r="K1506" s="9">
        <v>14</v>
      </c>
      <c r="L1506" s="9">
        <v>315</v>
      </c>
      <c r="M1506" s="9">
        <f t="shared" si="23"/>
        <v>4410</v>
      </c>
    </row>
    <row r="1507" spans="6:13" x14ac:dyDescent="0.3">
      <c r="F1507" s="7">
        <v>44554</v>
      </c>
      <c r="G1507" s="8" t="s">
        <v>16</v>
      </c>
      <c r="H1507" s="8" t="s">
        <v>9</v>
      </c>
      <c r="I1507" s="8" t="s">
        <v>14</v>
      </c>
      <c r="J1507" s="8" t="s">
        <v>11</v>
      </c>
      <c r="K1507" s="9">
        <v>6</v>
      </c>
      <c r="L1507" s="9">
        <v>1080</v>
      </c>
      <c r="M1507" s="9">
        <f t="shared" si="23"/>
        <v>6480</v>
      </c>
    </row>
    <row r="1508" spans="6:13" x14ac:dyDescent="0.3">
      <c r="F1508" s="7">
        <v>44554</v>
      </c>
      <c r="G1508" s="8" t="s">
        <v>17</v>
      </c>
      <c r="H1508" s="8" t="s">
        <v>18</v>
      </c>
      <c r="I1508" s="8" t="s">
        <v>10</v>
      </c>
      <c r="J1508" s="8" t="s">
        <v>11</v>
      </c>
      <c r="K1508" s="9">
        <v>2</v>
      </c>
      <c r="L1508" s="9">
        <v>1575</v>
      </c>
      <c r="M1508" s="9">
        <f t="shared" si="23"/>
        <v>3150</v>
      </c>
    </row>
    <row r="1509" spans="6:13" x14ac:dyDescent="0.3">
      <c r="F1509" s="7">
        <v>44554</v>
      </c>
      <c r="G1509" s="8" t="s">
        <v>19</v>
      </c>
      <c r="H1509" s="8" t="s">
        <v>18</v>
      </c>
      <c r="I1509" s="8" t="s">
        <v>10</v>
      </c>
      <c r="J1509" s="8" t="s">
        <v>11</v>
      </c>
      <c r="K1509" s="9">
        <v>9</v>
      </c>
      <c r="L1509" s="9">
        <v>790</v>
      </c>
      <c r="M1509" s="9">
        <f t="shared" si="23"/>
        <v>7110</v>
      </c>
    </row>
    <row r="1510" spans="6:13" x14ac:dyDescent="0.3">
      <c r="F1510" s="7">
        <v>44554</v>
      </c>
      <c r="G1510" s="8" t="s">
        <v>8</v>
      </c>
      <c r="H1510" s="8" t="s">
        <v>9</v>
      </c>
      <c r="I1510" s="8" t="s">
        <v>20</v>
      </c>
      <c r="J1510" s="8" t="s">
        <v>21</v>
      </c>
      <c r="K1510" s="9">
        <v>3</v>
      </c>
      <c r="L1510" s="9">
        <v>2001</v>
      </c>
      <c r="M1510" s="9">
        <f t="shared" si="23"/>
        <v>6003</v>
      </c>
    </row>
    <row r="1511" spans="6:13" x14ac:dyDescent="0.3">
      <c r="F1511" s="7">
        <v>44554</v>
      </c>
      <c r="G1511" s="8" t="s">
        <v>12</v>
      </c>
      <c r="H1511" s="8" t="s">
        <v>13</v>
      </c>
      <c r="I1511" s="8" t="s">
        <v>22</v>
      </c>
      <c r="J1511" s="8" t="s">
        <v>21</v>
      </c>
      <c r="K1511" s="9">
        <v>66</v>
      </c>
      <c r="L1511" s="9">
        <v>75</v>
      </c>
      <c r="M1511" s="9">
        <f t="shared" si="23"/>
        <v>4950</v>
      </c>
    </row>
    <row r="1512" spans="6:13" x14ac:dyDescent="0.3">
      <c r="F1512" s="7">
        <v>44554</v>
      </c>
      <c r="G1512" s="8" t="s">
        <v>15</v>
      </c>
      <c r="H1512" s="8" t="s">
        <v>13</v>
      </c>
      <c r="I1512" s="8" t="s">
        <v>22</v>
      </c>
      <c r="J1512" s="8" t="s">
        <v>21</v>
      </c>
      <c r="K1512" s="9">
        <v>15</v>
      </c>
      <c r="L1512" s="9">
        <v>315</v>
      </c>
      <c r="M1512" s="9">
        <f t="shared" si="23"/>
        <v>4725</v>
      </c>
    </row>
    <row r="1513" spans="6:13" x14ac:dyDescent="0.3">
      <c r="F1513" s="7">
        <v>44554</v>
      </c>
      <c r="G1513" s="8" t="s">
        <v>16</v>
      </c>
      <c r="H1513" s="8" t="s">
        <v>9</v>
      </c>
      <c r="I1513" s="8" t="s">
        <v>20</v>
      </c>
      <c r="J1513" s="8" t="s">
        <v>21</v>
      </c>
      <c r="K1513" s="9">
        <v>6</v>
      </c>
      <c r="L1513" s="9">
        <v>1080</v>
      </c>
      <c r="M1513" s="9">
        <f t="shared" si="23"/>
        <v>6480</v>
      </c>
    </row>
    <row r="1514" spans="6:13" x14ac:dyDescent="0.3">
      <c r="F1514" s="7">
        <v>44554</v>
      </c>
      <c r="G1514" s="8" t="s">
        <v>17</v>
      </c>
      <c r="H1514" s="8" t="s">
        <v>18</v>
      </c>
      <c r="I1514" s="8" t="s">
        <v>22</v>
      </c>
      <c r="J1514" s="8" t="s">
        <v>21</v>
      </c>
      <c r="K1514" s="9">
        <v>4</v>
      </c>
      <c r="L1514" s="9">
        <v>1575</v>
      </c>
      <c r="M1514" s="9">
        <f t="shared" si="23"/>
        <v>6300</v>
      </c>
    </row>
    <row r="1515" spans="6:13" x14ac:dyDescent="0.3">
      <c r="F1515" s="7">
        <v>44554</v>
      </c>
      <c r="G1515" s="8" t="s">
        <v>19</v>
      </c>
      <c r="H1515" s="8" t="s">
        <v>18</v>
      </c>
      <c r="I1515" s="8" t="s">
        <v>22</v>
      </c>
      <c r="J1515" s="8" t="s">
        <v>21</v>
      </c>
      <c r="K1515" s="9">
        <v>6</v>
      </c>
      <c r="L1515" s="9">
        <v>790</v>
      </c>
      <c r="M1515" s="9">
        <f t="shared" si="23"/>
        <v>4740</v>
      </c>
    </row>
    <row r="1516" spans="6:13" x14ac:dyDescent="0.3">
      <c r="F1516" s="7">
        <v>44554</v>
      </c>
      <c r="G1516" s="8" t="s">
        <v>8</v>
      </c>
      <c r="H1516" s="8" t="s">
        <v>9</v>
      </c>
      <c r="I1516" s="8" t="s">
        <v>23</v>
      </c>
      <c r="J1516" s="8" t="s">
        <v>24</v>
      </c>
      <c r="K1516" s="9">
        <v>4</v>
      </c>
      <c r="L1516" s="9">
        <v>2001</v>
      </c>
      <c r="M1516" s="9">
        <f t="shared" si="23"/>
        <v>8004</v>
      </c>
    </row>
    <row r="1517" spans="6:13" x14ac:dyDescent="0.3">
      <c r="F1517" s="7">
        <v>44554</v>
      </c>
      <c r="G1517" s="8" t="s">
        <v>12</v>
      </c>
      <c r="H1517" s="8" t="s">
        <v>13</v>
      </c>
      <c r="I1517" s="8" t="s">
        <v>25</v>
      </c>
      <c r="J1517" s="8" t="s">
        <v>24</v>
      </c>
      <c r="K1517" s="9">
        <v>31</v>
      </c>
      <c r="L1517" s="9">
        <v>75</v>
      </c>
      <c r="M1517" s="9">
        <f t="shared" si="23"/>
        <v>2325</v>
      </c>
    </row>
    <row r="1518" spans="6:13" x14ac:dyDescent="0.3">
      <c r="F1518" s="7">
        <v>44554</v>
      </c>
      <c r="G1518" s="8" t="s">
        <v>15</v>
      </c>
      <c r="H1518" s="8" t="s">
        <v>13</v>
      </c>
      <c r="I1518" s="8" t="s">
        <v>25</v>
      </c>
      <c r="J1518" s="8" t="s">
        <v>24</v>
      </c>
      <c r="K1518" s="9">
        <v>5</v>
      </c>
      <c r="L1518" s="9">
        <v>315</v>
      </c>
      <c r="M1518" s="9">
        <f t="shared" si="23"/>
        <v>1575</v>
      </c>
    </row>
    <row r="1519" spans="6:13" x14ac:dyDescent="0.3">
      <c r="F1519" s="7">
        <v>44554</v>
      </c>
      <c r="G1519" s="8" t="s">
        <v>16</v>
      </c>
      <c r="H1519" s="8" t="s">
        <v>9</v>
      </c>
      <c r="I1519" s="8" t="s">
        <v>23</v>
      </c>
      <c r="J1519" s="8" t="s">
        <v>24</v>
      </c>
      <c r="K1519" s="9">
        <v>5</v>
      </c>
      <c r="L1519" s="9">
        <v>1080</v>
      </c>
      <c r="M1519" s="9">
        <f t="shared" si="23"/>
        <v>5400</v>
      </c>
    </row>
    <row r="1520" spans="6:13" x14ac:dyDescent="0.3">
      <c r="F1520" s="7">
        <v>44554</v>
      </c>
      <c r="G1520" s="8" t="s">
        <v>17</v>
      </c>
      <c r="H1520" s="8" t="s">
        <v>18</v>
      </c>
      <c r="I1520" s="8" t="s">
        <v>25</v>
      </c>
      <c r="J1520" s="8" t="s">
        <v>24</v>
      </c>
      <c r="K1520" s="9">
        <v>4</v>
      </c>
      <c r="L1520" s="9">
        <v>1575</v>
      </c>
      <c r="M1520" s="9">
        <f t="shared" si="23"/>
        <v>6300</v>
      </c>
    </row>
    <row r="1521" spans="6:13" x14ac:dyDescent="0.3">
      <c r="F1521" s="7">
        <v>44554</v>
      </c>
      <c r="G1521" s="8" t="s">
        <v>19</v>
      </c>
      <c r="H1521" s="8" t="s">
        <v>18</v>
      </c>
      <c r="I1521" s="8" t="s">
        <v>25</v>
      </c>
      <c r="J1521" s="8" t="s">
        <v>24</v>
      </c>
      <c r="K1521" s="9">
        <v>5</v>
      </c>
      <c r="L1521" s="9">
        <v>790</v>
      </c>
      <c r="M1521" s="9">
        <f t="shared" si="23"/>
        <v>3950</v>
      </c>
    </row>
    <row r="1522" spans="6:13" x14ac:dyDescent="0.3">
      <c r="F1522" s="7">
        <v>44554</v>
      </c>
      <c r="G1522" s="8" t="s">
        <v>8</v>
      </c>
      <c r="H1522" s="8" t="s">
        <v>9</v>
      </c>
      <c r="I1522" s="8" t="s">
        <v>26</v>
      </c>
      <c r="J1522" s="8" t="s">
        <v>27</v>
      </c>
      <c r="K1522" s="9">
        <v>3</v>
      </c>
      <c r="L1522" s="9">
        <v>2001</v>
      </c>
      <c r="M1522" s="9">
        <f t="shared" si="23"/>
        <v>6003</v>
      </c>
    </row>
    <row r="1523" spans="6:13" x14ac:dyDescent="0.3">
      <c r="F1523" s="7">
        <v>44554</v>
      </c>
      <c r="G1523" s="8" t="s">
        <v>12</v>
      </c>
      <c r="H1523" s="8" t="s">
        <v>13</v>
      </c>
      <c r="I1523" s="8" t="s">
        <v>26</v>
      </c>
      <c r="J1523" s="8" t="s">
        <v>27</v>
      </c>
      <c r="K1523" s="9">
        <v>52</v>
      </c>
      <c r="L1523" s="9">
        <v>75</v>
      </c>
      <c r="M1523" s="9">
        <f t="shared" si="23"/>
        <v>3900</v>
      </c>
    </row>
    <row r="1524" spans="6:13" x14ac:dyDescent="0.3">
      <c r="F1524" s="7">
        <v>44554</v>
      </c>
      <c r="G1524" s="8" t="s">
        <v>15</v>
      </c>
      <c r="H1524" s="8" t="s">
        <v>13</v>
      </c>
      <c r="I1524" s="8" t="s">
        <v>26</v>
      </c>
      <c r="J1524" s="8" t="s">
        <v>27</v>
      </c>
      <c r="K1524" s="9">
        <v>8</v>
      </c>
      <c r="L1524" s="9">
        <v>315</v>
      </c>
      <c r="M1524" s="9">
        <f t="shared" si="23"/>
        <v>2520</v>
      </c>
    </row>
    <row r="1525" spans="6:13" x14ac:dyDescent="0.3">
      <c r="F1525" s="7">
        <v>44554</v>
      </c>
      <c r="G1525" s="8" t="s">
        <v>16</v>
      </c>
      <c r="H1525" s="8" t="s">
        <v>9</v>
      </c>
      <c r="I1525" s="8" t="s">
        <v>26</v>
      </c>
      <c r="J1525" s="8" t="s">
        <v>27</v>
      </c>
      <c r="K1525" s="9">
        <v>2</v>
      </c>
      <c r="L1525" s="9">
        <v>1080</v>
      </c>
      <c r="M1525" s="9">
        <f t="shared" si="23"/>
        <v>2160</v>
      </c>
    </row>
    <row r="1526" spans="6:13" x14ac:dyDescent="0.3">
      <c r="F1526" s="7">
        <v>44554</v>
      </c>
      <c r="G1526" s="8" t="s">
        <v>17</v>
      </c>
      <c r="H1526" s="8" t="s">
        <v>18</v>
      </c>
      <c r="I1526" s="8" t="s">
        <v>28</v>
      </c>
      <c r="J1526" s="8" t="s">
        <v>27</v>
      </c>
      <c r="K1526" s="9">
        <v>3</v>
      </c>
      <c r="L1526" s="9">
        <v>1575</v>
      </c>
      <c r="M1526" s="9">
        <f t="shared" si="23"/>
        <v>4725</v>
      </c>
    </row>
    <row r="1527" spans="6:13" x14ac:dyDescent="0.3">
      <c r="F1527" s="7">
        <v>44554</v>
      </c>
      <c r="G1527" s="8" t="s">
        <v>19</v>
      </c>
      <c r="H1527" s="8" t="s">
        <v>18</v>
      </c>
      <c r="I1527" s="8" t="s">
        <v>28</v>
      </c>
      <c r="J1527" s="8" t="s">
        <v>27</v>
      </c>
      <c r="K1527" s="9">
        <v>5</v>
      </c>
      <c r="L1527" s="9">
        <v>790</v>
      </c>
      <c r="M1527" s="9">
        <f t="shared" si="23"/>
        <v>3950</v>
      </c>
    </row>
    <row r="1528" spans="6:13" x14ac:dyDescent="0.3">
      <c r="F1528" s="7">
        <v>44554</v>
      </c>
      <c r="G1528" s="8" t="s">
        <v>8</v>
      </c>
      <c r="H1528" s="8" t="s">
        <v>9</v>
      </c>
      <c r="I1528" s="8" t="s">
        <v>29</v>
      </c>
      <c r="J1528" s="8" t="s">
        <v>30</v>
      </c>
      <c r="K1528" s="9">
        <v>5</v>
      </c>
      <c r="L1528" s="9">
        <v>2001</v>
      </c>
      <c r="M1528" s="9">
        <f t="shared" si="23"/>
        <v>10005</v>
      </c>
    </row>
    <row r="1529" spans="6:13" x14ac:dyDescent="0.3">
      <c r="F1529" s="7">
        <v>44554</v>
      </c>
      <c r="G1529" s="8" t="s">
        <v>12</v>
      </c>
      <c r="H1529" s="8" t="s">
        <v>13</v>
      </c>
      <c r="I1529" s="8" t="s">
        <v>31</v>
      </c>
      <c r="J1529" s="8" t="s">
        <v>30</v>
      </c>
      <c r="K1529" s="9">
        <v>34</v>
      </c>
      <c r="L1529" s="9">
        <v>75</v>
      </c>
      <c r="M1529" s="9">
        <f t="shared" si="23"/>
        <v>2550</v>
      </c>
    </row>
    <row r="1530" spans="6:13" x14ac:dyDescent="0.3">
      <c r="F1530" s="7">
        <v>44554</v>
      </c>
      <c r="G1530" s="8" t="s">
        <v>15</v>
      </c>
      <c r="H1530" s="8" t="s">
        <v>13</v>
      </c>
      <c r="I1530" s="8" t="s">
        <v>31</v>
      </c>
      <c r="J1530" s="8" t="s">
        <v>30</v>
      </c>
      <c r="K1530" s="9">
        <v>10</v>
      </c>
      <c r="L1530" s="9">
        <v>315</v>
      </c>
      <c r="M1530" s="9">
        <f t="shared" si="23"/>
        <v>3150</v>
      </c>
    </row>
    <row r="1531" spans="6:13" x14ac:dyDescent="0.3">
      <c r="F1531" s="7">
        <v>44554</v>
      </c>
      <c r="G1531" s="8" t="s">
        <v>16</v>
      </c>
      <c r="H1531" s="8" t="s">
        <v>9</v>
      </c>
      <c r="I1531" s="8" t="s">
        <v>29</v>
      </c>
      <c r="J1531" s="8" t="s">
        <v>30</v>
      </c>
      <c r="K1531" s="9">
        <v>6</v>
      </c>
      <c r="L1531" s="9">
        <v>1080</v>
      </c>
      <c r="M1531" s="9">
        <f t="shared" si="23"/>
        <v>6480</v>
      </c>
    </row>
    <row r="1532" spans="6:13" x14ac:dyDescent="0.3">
      <c r="F1532" s="7">
        <v>44554</v>
      </c>
      <c r="G1532" s="8" t="s">
        <v>17</v>
      </c>
      <c r="H1532" s="8" t="s">
        <v>18</v>
      </c>
      <c r="I1532" s="8" t="s">
        <v>31</v>
      </c>
      <c r="J1532" s="8" t="s">
        <v>30</v>
      </c>
      <c r="K1532" s="9">
        <v>6</v>
      </c>
      <c r="L1532" s="9">
        <v>1575</v>
      </c>
      <c r="M1532" s="9">
        <f t="shared" si="23"/>
        <v>9450</v>
      </c>
    </row>
    <row r="1533" spans="6:13" x14ac:dyDescent="0.3">
      <c r="F1533" s="7">
        <v>44554</v>
      </c>
      <c r="G1533" s="8" t="s">
        <v>19</v>
      </c>
      <c r="H1533" s="8" t="s">
        <v>18</v>
      </c>
      <c r="I1533" s="8" t="s">
        <v>31</v>
      </c>
      <c r="J1533" s="8" t="s">
        <v>30</v>
      </c>
      <c r="K1533" s="9">
        <v>5</v>
      </c>
      <c r="L1533" s="9">
        <v>790</v>
      </c>
      <c r="M1533" s="9">
        <f t="shared" si="23"/>
        <v>3950</v>
      </c>
    </row>
    <row r="1534" spans="6:13" x14ac:dyDescent="0.3">
      <c r="F1534" s="7">
        <v>44561</v>
      </c>
      <c r="G1534" s="8" t="s">
        <v>8</v>
      </c>
      <c r="H1534" s="8" t="s">
        <v>9</v>
      </c>
      <c r="I1534" s="8" t="s">
        <v>14</v>
      </c>
      <c r="J1534" s="8" t="s">
        <v>11</v>
      </c>
      <c r="K1534" s="9">
        <v>6</v>
      </c>
      <c r="L1534" s="9">
        <v>2001</v>
      </c>
      <c r="M1534" s="9">
        <f t="shared" si="23"/>
        <v>12006</v>
      </c>
    </row>
    <row r="1535" spans="6:13" x14ac:dyDescent="0.3">
      <c r="F1535" s="7">
        <v>44561</v>
      </c>
      <c r="G1535" s="8" t="s">
        <v>12</v>
      </c>
      <c r="H1535" s="8" t="s">
        <v>13</v>
      </c>
      <c r="I1535" s="8" t="s">
        <v>14</v>
      </c>
      <c r="J1535" s="8" t="s">
        <v>11</v>
      </c>
      <c r="K1535" s="9">
        <v>45</v>
      </c>
      <c r="L1535" s="9">
        <v>75</v>
      </c>
      <c r="M1535" s="9">
        <f t="shared" si="23"/>
        <v>3375</v>
      </c>
    </row>
    <row r="1536" spans="6:13" x14ac:dyDescent="0.3">
      <c r="F1536" s="7">
        <v>44561</v>
      </c>
      <c r="G1536" s="8" t="s">
        <v>15</v>
      </c>
      <c r="H1536" s="8" t="s">
        <v>13</v>
      </c>
      <c r="I1536" s="8" t="s">
        <v>14</v>
      </c>
      <c r="J1536" s="8" t="s">
        <v>11</v>
      </c>
      <c r="K1536" s="9">
        <v>11</v>
      </c>
      <c r="L1536" s="9">
        <v>315</v>
      </c>
      <c r="M1536" s="9">
        <f t="shared" si="23"/>
        <v>3465</v>
      </c>
    </row>
    <row r="1537" spans="6:13" x14ac:dyDescent="0.3">
      <c r="F1537" s="7">
        <v>44561</v>
      </c>
      <c r="G1537" s="8" t="s">
        <v>16</v>
      </c>
      <c r="H1537" s="8" t="s">
        <v>9</v>
      </c>
      <c r="I1537" s="8" t="s">
        <v>14</v>
      </c>
      <c r="J1537" s="8" t="s">
        <v>11</v>
      </c>
      <c r="K1537" s="9">
        <v>3</v>
      </c>
      <c r="L1537" s="9">
        <v>1080</v>
      </c>
      <c r="M1537" s="9">
        <f t="shared" si="23"/>
        <v>3240</v>
      </c>
    </row>
    <row r="1538" spans="6:13" x14ac:dyDescent="0.3">
      <c r="F1538" s="7">
        <v>44561</v>
      </c>
      <c r="G1538" s="8" t="s">
        <v>17</v>
      </c>
      <c r="H1538" s="8" t="s">
        <v>18</v>
      </c>
      <c r="I1538" s="8" t="s">
        <v>10</v>
      </c>
      <c r="J1538" s="8" t="s">
        <v>11</v>
      </c>
      <c r="K1538" s="9">
        <v>3</v>
      </c>
      <c r="L1538" s="9">
        <v>1575</v>
      </c>
      <c r="M1538" s="9">
        <f t="shared" si="23"/>
        <v>4725</v>
      </c>
    </row>
    <row r="1539" spans="6:13" x14ac:dyDescent="0.3">
      <c r="F1539" s="7">
        <v>44561</v>
      </c>
      <c r="G1539" s="8" t="s">
        <v>19</v>
      </c>
      <c r="H1539" s="8" t="s">
        <v>18</v>
      </c>
      <c r="I1539" s="8" t="s">
        <v>10</v>
      </c>
      <c r="J1539" s="8" t="s">
        <v>11</v>
      </c>
      <c r="K1539" s="9">
        <v>5</v>
      </c>
      <c r="L1539" s="9">
        <v>790</v>
      </c>
      <c r="M1539" s="9">
        <f t="shared" si="23"/>
        <v>3950</v>
      </c>
    </row>
    <row r="1540" spans="6:13" x14ac:dyDescent="0.3">
      <c r="F1540" s="7">
        <v>44561</v>
      </c>
      <c r="G1540" s="8" t="s">
        <v>8</v>
      </c>
      <c r="H1540" s="8" t="s">
        <v>9</v>
      </c>
      <c r="I1540" s="8" t="s">
        <v>20</v>
      </c>
      <c r="J1540" s="8" t="s">
        <v>21</v>
      </c>
      <c r="K1540" s="9">
        <v>3</v>
      </c>
      <c r="L1540" s="9">
        <v>2001</v>
      </c>
      <c r="M1540" s="9">
        <f t="shared" ref="M1540:M1563" si="24">K1540*L1540</f>
        <v>6003</v>
      </c>
    </row>
    <row r="1541" spans="6:13" x14ac:dyDescent="0.3">
      <c r="F1541" s="7">
        <v>44561</v>
      </c>
      <c r="G1541" s="8" t="s">
        <v>12</v>
      </c>
      <c r="H1541" s="8" t="s">
        <v>13</v>
      </c>
      <c r="I1541" s="8" t="s">
        <v>22</v>
      </c>
      <c r="J1541" s="8" t="s">
        <v>21</v>
      </c>
      <c r="K1541" s="9">
        <v>44</v>
      </c>
      <c r="L1541" s="9">
        <v>75</v>
      </c>
      <c r="M1541" s="9">
        <f t="shared" si="24"/>
        <v>3300</v>
      </c>
    </row>
    <row r="1542" spans="6:13" x14ac:dyDescent="0.3">
      <c r="F1542" s="7">
        <v>44561</v>
      </c>
      <c r="G1542" s="8" t="s">
        <v>15</v>
      </c>
      <c r="H1542" s="8" t="s">
        <v>13</v>
      </c>
      <c r="I1542" s="8" t="s">
        <v>22</v>
      </c>
      <c r="J1542" s="8" t="s">
        <v>21</v>
      </c>
      <c r="K1542" s="9">
        <v>15</v>
      </c>
      <c r="L1542" s="9">
        <v>315</v>
      </c>
      <c r="M1542" s="9">
        <f t="shared" si="24"/>
        <v>4725</v>
      </c>
    </row>
    <row r="1543" spans="6:13" x14ac:dyDescent="0.3">
      <c r="F1543" s="7">
        <v>44561</v>
      </c>
      <c r="G1543" s="8" t="s">
        <v>16</v>
      </c>
      <c r="H1543" s="8" t="s">
        <v>9</v>
      </c>
      <c r="I1543" s="8" t="s">
        <v>20</v>
      </c>
      <c r="J1543" s="8" t="s">
        <v>21</v>
      </c>
      <c r="K1543" s="9">
        <v>5</v>
      </c>
      <c r="L1543" s="9">
        <v>1080</v>
      </c>
      <c r="M1543" s="9">
        <f t="shared" si="24"/>
        <v>5400</v>
      </c>
    </row>
    <row r="1544" spans="6:13" x14ac:dyDescent="0.3">
      <c r="F1544" s="7">
        <v>44561</v>
      </c>
      <c r="G1544" s="8" t="s">
        <v>17</v>
      </c>
      <c r="H1544" s="8" t="s">
        <v>18</v>
      </c>
      <c r="I1544" s="8" t="s">
        <v>22</v>
      </c>
      <c r="J1544" s="8" t="s">
        <v>21</v>
      </c>
      <c r="K1544" s="9">
        <v>4</v>
      </c>
      <c r="L1544" s="9">
        <v>1575</v>
      </c>
      <c r="M1544" s="9">
        <f t="shared" si="24"/>
        <v>6300</v>
      </c>
    </row>
    <row r="1545" spans="6:13" x14ac:dyDescent="0.3">
      <c r="F1545" s="7">
        <v>44561</v>
      </c>
      <c r="G1545" s="8" t="s">
        <v>19</v>
      </c>
      <c r="H1545" s="8" t="s">
        <v>18</v>
      </c>
      <c r="I1545" s="8" t="s">
        <v>22</v>
      </c>
      <c r="J1545" s="8" t="s">
        <v>21</v>
      </c>
      <c r="K1545" s="9">
        <v>9</v>
      </c>
      <c r="L1545" s="9">
        <v>790</v>
      </c>
      <c r="M1545" s="9">
        <f t="shared" si="24"/>
        <v>7110</v>
      </c>
    </row>
    <row r="1546" spans="6:13" x14ac:dyDescent="0.3">
      <c r="F1546" s="7">
        <v>44561</v>
      </c>
      <c r="G1546" s="8" t="s">
        <v>8</v>
      </c>
      <c r="H1546" s="8" t="s">
        <v>9</v>
      </c>
      <c r="I1546" s="8" t="s">
        <v>23</v>
      </c>
      <c r="J1546" s="8" t="s">
        <v>24</v>
      </c>
      <c r="K1546" s="9">
        <v>6</v>
      </c>
      <c r="L1546" s="9">
        <v>2001</v>
      </c>
      <c r="M1546" s="9">
        <f t="shared" si="24"/>
        <v>12006</v>
      </c>
    </row>
    <row r="1547" spans="6:13" x14ac:dyDescent="0.3">
      <c r="F1547" s="7">
        <v>44561</v>
      </c>
      <c r="G1547" s="8" t="s">
        <v>12</v>
      </c>
      <c r="H1547" s="8" t="s">
        <v>13</v>
      </c>
      <c r="I1547" s="8" t="s">
        <v>25</v>
      </c>
      <c r="J1547" s="8" t="s">
        <v>24</v>
      </c>
      <c r="K1547" s="9">
        <v>23</v>
      </c>
      <c r="L1547" s="9">
        <v>75</v>
      </c>
      <c r="M1547" s="9">
        <f t="shared" si="24"/>
        <v>1725</v>
      </c>
    </row>
    <row r="1548" spans="6:13" x14ac:dyDescent="0.3">
      <c r="F1548" s="7">
        <v>44561</v>
      </c>
      <c r="G1548" s="8" t="s">
        <v>15</v>
      </c>
      <c r="H1548" s="8" t="s">
        <v>13</v>
      </c>
      <c r="I1548" s="8" t="s">
        <v>25</v>
      </c>
      <c r="J1548" s="8" t="s">
        <v>24</v>
      </c>
      <c r="K1548" s="9">
        <v>8</v>
      </c>
      <c r="L1548" s="9">
        <v>315</v>
      </c>
      <c r="M1548" s="9">
        <f t="shared" si="24"/>
        <v>2520</v>
      </c>
    </row>
    <row r="1549" spans="6:13" x14ac:dyDescent="0.3">
      <c r="F1549" s="7">
        <v>44561</v>
      </c>
      <c r="G1549" s="8" t="s">
        <v>16</v>
      </c>
      <c r="H1549" s="8" t="s">
        <v>9</v>
      </c>
      <c r="I1549" s="8" t="s">
        <v>23</v>
      </c>
      <c r="J1549" s="8" t="s">
        <v>24</v>
      </c>
      <c r="K1549" s="9">
        <v>3</v>
      </c>
      <c r="L1549" s="9">
        <v>1080</v>
      </c>
      <c r="M1549" s="9">
        <f t="shared" si="24"/>
        <v>3240</v>
      </c>
    </row>
    <row r="1550" spans="6:13" x14ac:dyDescent="0.3">
      <c r="F1550" s="7">
        <v>44561</v>
      </c>
      <c r="G1550" s="8" t="s">
        <v>17</v>
      </c>
      <c r="H1550" s="8" t="s">
        <v>18</v>
      </c>
      <c r="I1550" s="8" t="s">
        <v>25</v>
      </c>
      <c r="J1550" s="8" t="s">
        <v>24</v>
      </c>
      <c r="K1550" s="9">
        <v>3</v>
      </c>
      <c r="L1550" s="9">
        <v>1575</v>
      </c>
      <c r="M1550" s="9">
        <f t="shared" si="24"/>
        <v>4725</v>
      </c>
    </row>
    <row r="1551" spans="6:13" x14ac:dyDescent="0.3">
      <c r="F1551" s="7">
        <v>44561</v>
      </c>
      <c r="G1551" s="8" t="s">
        <v>19</v>
      </c>
      <c r="H1551" s="8" t="s">
        <v>18</v>
      </c>
      <c r="I1551" s="8" t="s">
        <v>25</v>
      </c>
      <c r="J1551" s="8" t="s">
        <v>24</v>
      </c>
      <c r="K1551" s="9">
        <v>9</v>
      </c>
      <c r="L1551" s="9">
        <v>790</v>
      </c>
      <c r="M1551" s="9">
        <f t="shared" si="24"/>
        <v>7110</v>
      </c>
    </row>
    <row r="1552" spans="6:13" x14ac:dyDescent="0.3">
      <c r="F1552" s="7">
        <v>44561</v>
      </c>
      <c r="G1552" s="8" t="s">
        <v>8</v>
      </c>
      <c r="H1552" s="8" t="s">
        <v>9</v>
      </c>
      <c r="I1552" s="8" t="s">
        <v>26</v>
      </c>
      <c r="J1552" s="8" t="s">
        <v>27</v>
      </c>
      <c r="K1552" s="9">
        <v>5</v>
      </c>
      <c r="L1552" s="9">
        <v>2001</v>
      </c>
      <c r="M1552" s="9">
        <f t="shared" si="24"/>
        <v>10005</v>
      </c>
    </row>
    <row r="1553" spans="6:13" x14ac:dyDescent="0.3">
      <c r="F1553" s="7">
        <v>44561</v>
      </c>
      <c r="G1553" s="8" t="s">
        <v>12</v>
      </c>
      <c r="H1553" s="8" t="s">
        <v>13</v>
      </c>
      <c r="I1553" s="8" t="s">
        <v>26</v>
      </c>
      <c r="J1553" s="8" t="s">
        <v>27</v>
      </c>
      <c r="K1553" s="9">
        <v>51</v>
      </c>
      <c r="L1553" s="9">
        <v>75</v>
      </c>
      <c r="M1553" s="9">
        <f t="shared" si="24"/>
        <v>3825</v>
      </c>
    </row>
    <row r="1554" spans="6:13" x14ac:dyDescent="0.3">
      <c r="F1554" s="7">
        <v>44561</v>
      </c>
      <c r="G1554" s="8" t="s">
        <v>15</v>
      </c>
      <c r="H1554" s="8" t="s">
        <v>13</v>
      </c>
      <c r="I1554" s="8" t="s">
        <v>26</v>
      </c>
      <c r="J1554" s="8" t="s">
        <v>27</v>
      </c>
      <c r="K1554" s="9">
        <v>7</v>
      </c>
      <c r="L1554" s="9">
        <v>315</v>
      </c>
      <c r="M1554" s="9">
        <f t="shared" si="24"/>
        <v>2205</v>
      </c>
    </row>
    <row r="1555" spans="6:13" x14ac:dyDescent="0.3">
      <c r="F1555" s="7">
        <v>44561</v>
      </c>
      <c r="G1555" s="8" t="s">
        <v>16</v>
      </c>
      <c r="H1555" s="8" t="s">
        <v>9</v>
      </c>
      <c r="I1555" s="8" t="s">
        <v>26</v>
      </c>
      <c r="J1555" s="8" t="s">
        <v>27</v>
      </c>
      <c r="K1555" s="9">
        <v>5</v>
      </c>
      <c r="L1555" s="9">
        <v>1080</v>
      </c>
      <c r="M1555" s="9">
        <f t="shared" si="24"/>
        <v>5400</v>
      </c>
    </row>
    <row r="1556" spans="6:13" x14ac:dyDescent="0.3">
      <c r="F1556" s="7">
        <v>44561</v>
      </c>
      <c r="G1556" s="8" t="s">
        <v>17</v>
      </c>
      <c r="H1556" s="8" t="s">
        <v>18</v>
      </c>
      <c r="I1556" s="8" t="s">
        <v>28</v>
      </c>
      <c r="J1556" s="8" t="s">
        <v>27</v>
      </c>
      <c r="K1556" s="9">
        <v>6</v>
      </c>
      <c r="L1556" s="9">
        <v>1575</v>
      </c>
      <c r="M1556" s="9">
        <f t="shared" si="24"/>
        <v>9450</v>
      </c>
    </row>
    <row r="1557" spans="6:13" x14ac:dyDescent="0.3">
      <c r="F1557" s="7">
        <v>44561</v>
      </c>
      <c r="G1557" s="8" t="s">
        <v>19</v>
      </c>
      <c r="H1557" s="8" t="s">
        <v>18</v>
      </c>
      <c r="I1557" s="8" t="s">
        <v>28</v>
      </c>
      <c r="J1557" s="8" t="s">
        <v>27</v>
      </c>
      <c r="K1557" s="9">
        <v>10</v>
      </c>
      <c r="L1557" s="9">
        <v>790</v>
      </c>
      <c r="M1557" s="9">
        <f t="shared" si="24"/>
        <v>7900</v>
      </c>
    </row>
    <row r="1558" spans="6:13" x14ac:dyDescent="0.3">
      <c r="F1558" s="7">
        <v>44561</v>
      </c>
      <c r="G1558" s="8" t="s">
        <v>8</v>
      </c>
      <c r="H1558" s="8" t="s">
        <v>9</v>
      </c>
      <c r="I1558" s="8" t="s">
        <v>29</v>
      </c>
      <c r="J1558" s="8" t="s">
        <v>30</v>
      </c>
      <c r="K1558" s="9">
        <v>6</v>
      </c>
      <c r="L1558" s="9">
        <v>2001</v>
      </c>
      <c r="M1558" s="9">
        <f t="shared" si="24"/>
        <v>12006</v>
      </c>
    </row>
    <row r="1559" spans="6:13" x14ac:dyDescent="0.3">
      <c r="F1559" s="7">
        <v>44561</v>
      </c>
      <c r="G1559" s="8" t="s">
        <v>12</v>
      </c>
      <c r="H1559" s="8" t="s">
        <v>13</v>
      </c>
      <c r="I1559" s="8" t="s">
        <v>31</v>
      </c>
      <c r="J1559" s="8" t="s">
        <v>30</v>
      </c>
      <c r="K1559" s="9">
        <v>59</v>
      </c>
      <c r="L1559" s="9">
        <v>75</v>
      </c>
      <c r="M1559" s="9">
        <f t="shared" si="24"/>
        <v>4425</v>
      </c>
    </row>
    <row r="1560" spans="6:13" x14ac:dyDescent="0.3">
      <c r="F1560" s="7">
        <v>44561</v>
      </c>
      <c r="G1560" s="8" t="s">
        <v>15</v>
      </c>
      <c r="H1560" s="8" t="s">
        <v>13</v>
      </c>
      <c r="I1560" s="8" t="s">
        <v>31</v>
      </c>
      <c r="J1560" s="8" t="s">
        <v>30</v>
      </c>
      <c r="K1560" s="9">
        <v>11</v>
      </c>
      <c r="L1560" s="9">
        <v>315</v>
      </c>
      <c r="M1560" s="9">
        <f t="shared" si="24"/>
        <v>3465</v>
      </c>
    </row>
    <row r="1561" spans="6:13" x14ac:dyDescent="0.3">
      <c r="F1561" s="7">
        <v>44561</v>
      </c>
      <c r="G1561" s="8" t="s">
        <v>16</v>
      </c>
      <c r="H1561" s="8" t="s">
        <v>9</v>
      </c>
      <c r="I1561" s="8" t="s">
        <v>29</v>
      </c>
      <c r="J1561" s="8" t="s">
        <v>30</v>
      </c>
      <c r="K1561" s="9">
        <v>2</v>
      </c>
      <c r="L1561" s="9">
        <v>1080</v>
      </c>
      <c r="M1561" s="9">
        <f t="shared" si="24"/>
        <v>2160</v>
      </c>
    </row>
    <row r="1562" spans="6:13" x14ac:dyDescent="0.3">
      <c r="F1562" s="7">
        <v>44561</v>
      </c>
      <c r="G1562" s="8" t="s">
        <v>17</v>
      </c>
      <c r="H1562" s="8" t="s">
        <v>18</v>
      </c>
      <c r="I1562" s="8" t="s">
        <v>31</v>
      </c>
      <c r="J1562" s="8" t="s">
        <v>30</v>
      </c>
      <c r="K1562" s="9">
        <v>4</v>
      </c>
      <c r="L1562" s="9">
        <v>1575</v>
      </c>
      <c r="M1562" s="9">
        <f t="shared" si="24"/>
        <v>6300</v>
      </c>
    </row>
    <row r="1563" spans="6:13" x14ac:dyDescent="0.3">
      <c r="F1563" s="7">
        <v>44561</v>
      </c>
      <c r="G1563" s="8" t="s">
        <v>19</v>
      </c>
      <c r="H1563" s="8" t="s">
        <v>18</v>
      </c>
      <c r="I1563" s="8" t="s">
        <v>31</v>
      </c>
      <c r="J1563" s="8" t="s">
        <v>30</v>
      </c>
      <c r="K1563" s="9">
        <v>10</v>
      </c>
      <c r="L1563" s="9">
        <v>790</v>
      </c>
      <c r="M1563" s="9">
        <f t="shared" si="24"/>
        <v>7900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FA879-745D-4EC0-9C17-A389CBB9DFB9}">
  <sheetPr codeName="Sheet2"/>
  <dimension ref="A3:B74"/>
  <sheetViews>
    <sheetView topLeftCell="A26" zoomScale="105" workbookViewId="0">
      <selection activeCell="P56" sqref="P56"/>
    </sheetView>
  </sheetViews>
  <sheetFormatPr defaultRowHeight="14.4" x14ac:dyDescent="0.3"/>
  <cols>
    <col min="1" max="1" width="12.5546875" style="2" bestFit="1" customWidth="1"/>
    <col min="2" max="2" width="14.44140625" style="2" bestFit="1" customWidth="1"/>
    <col min="3" max="16384" width="8.88671875" style="2"/>
  </cols>
  <sheetData>
    <row r="3" spans="1:2" x14ac:dyDescent="0.3">
      <c r="A3" s="3" t="s">
        <v>32</v>
      </c>
      <c r="B3" s="3" t="s">
        <v>34</v>
      </c>
    </row>
    <row r="4" spans="1:2" x14ac:dyDescent="0.3">
      <c r="A4" s="4" t="s">
        <v>11</v>
      </c>
      <c r="B4" s="5">
        <v>1713080</v>
      </c>
    </row>
    <row r="5" spans="1:2" x14ac:dyDescent="0.3">
      <c r="A5" s="4" t="s">
        <v>24</v>
      </c>
      <c r="B5" s="5">
        <v>1547332</v>
      </c>
    </row>
    <row r="6" spans="1:2" x14ac:dyDescent="0.3">
      <c r="A6" s="4" t="s">
        <v>27</v>
      </c>
      <c r="B6" s="5">
        <v>1716725</v>
      </c>
    </row>
    <row r="7" spans="1:2" x14ac:dyDescent="0.3">
      <c r="A7" s="4" t="s">
        <v>30</v>
      </c>
      <c r="B7" s="5">
        <v>1739380</v>
      </c>
    </row>
    <row r="8" spans="1:2" x14ac:dyDescent="0.3">
      <c r="A8" s="4" t="s">
        <v>21</v>
      </c>
      <c r="B8" s="5">
        <v>1748089</v>
      </c>
    </row>
    <row r="9" spans="1:2" x14ac:dyDescent="0.3">
      <c r="A9" s="4" t="s">
        <v>33</v>
      </c>
      <c r="B9" s="5">
        <v>8464606</v>
      </c>
    </row>
    <row r="14" spans="1:2" x14ac:dyDescent="0.3">
      <c r="A14" s="3" t="s">
        <v>32</v>
      </c>
      <c r="B14" s="3" t="s">
        <v>34</v>
      </c>
    </row>
    <row r="15" spans="1:2" x14ac:dyDescent="0.3">
      <c r="A15" s="4" t="s">
        <v>15</v>
      </c>
      <c r="B15" s="5">
        <v>791595</v>
      </c>
    </row>
    <row r="16" spans="1:2" x14ac:dyDescent="0.3">
      <c r="A16" s="4" t="s">
        <v>8</v>
      </c>
      <c r="B16" s="5">
        <v>2363181</v>
      </c>
    </row>
    <row r="17" spans="1:2" x14ac:dyDescent="0.3">
      <c r="A17" s="4" t="s">
        <v>16</v>
      </c>
      <c r="B17" s="5">
        <v>1142640</v>
      </c>
    </row>
    <row r="18" spans="1:2" x14ac:dyDescent="0.3">
      <c r="A18" s="4" t="s">
        <v>17</v>
      </c>
      <c r="B18" s="5">
        <v>1664775</v>
      </c>
    </row>
    <row r="19" spans="1:2" x14ac:dyDescent="0.3">
      <c r="A19" s="4" t="s">
        <v>19</v>
      </c>
      <c r="B19" s="5">
        <v>1624240</v>
      </c>
    </row>
    <row r="20" spans="1:2" x14ac:dyDescent="0.3">
      <c r="A20" s="4" t="s">
        <v>12</v>
      </c>
      <c r="B20" s="5">
        <v>878175</v>
      </c>
    </row>
    <row r="21" spans="1:2" x14ac:dyDescent="0.3">
      <c r="A21" s="4" t="s">
        <v>33</v>
      </c>
      <c r="B21" s="5">
        <v>8464606</v>
      </c>
    </row>
    <row r="27" spans="1:2" x14ac:dyDescent="0.3">
      <c r="A27" s="3" t="s">
        <v>32</v>
      </c>
      <c r="B27" s="3" t="s">
        <v>34</v>
      </c>
    </row>
    <row r="28" spans="1:2" x14ac:dyDescent="0.3">
      <c r="A28" s="4" t="s">
        <v>31</v>
      </c>
      <c r="B28" s="5">
        <v>597890</v>
      </c>
    </row>
    <row r="29" spans="1:2" x14ac:dyDescent="0.3">
      <c r="A29" s="4" t="s">
        <v>14</v>
      </c>
      <c r="B29" s="5">
        <v>717555</v>
      </c>
    </row>
    <row r="30" spans="1:2" x14ac:dyDescent="0.3">
      <c r="A30" s="4" t="s">
        <v>22</v>
      </c>
      <c r="B30" s="5">
        <v>725580</v>
      </c>
    </row>
    <row r="31" spans="1:2" x14ac:dyDescent="0.3">
      <c r="A31" s="4" t="s">
        <v>25</v>
      </c>
      <c r="B31" s="5">
        <v>742570</v>
      </c>
    </row>
    <row r="32" spans="1:2" x14ac:dyDescent="0.3">
      <c r="A32" s="4" t="s">
        <v>23</v>
      </c>
      <c r="B32" s="5">
        <v>804762</v>
      </c>
    </row>
    <row r="33" spans="1:2" x14ac:dyDescent="0.3">
      <c r="A33" s="4" t="s">
        <v>28</v>
      </c>
      <c r="B33" s="5">
        <v>846425</v>
      </c>
    </row>
    <row r="34" spans="1:2" x14ac:dyDescent="0.3">
      <c r="A34" s="4" t="s">
        <v>26</v>
      </c>
      <c r="B34" s="5">
        <v>870300</v>
      </c>
    </row>
    <row r="35" spans="1:2" x14ac:dyDescent="0.3">
      <c r="A35" s="4" t="s">
        <v>10</v>
      </c>
      <c r="B35" s="5">
        <v>995525</v>
      </c>
    </row>
    <row r="36" spans="1:2" x14ac:dyDescent="0.3">
      <c r="A36" s="4" t="s">
        <v>20</v>
      </c>
      <c r="B36" s="5">
        <v>1022509</v>
      </c>
    </row>
    <row r="37" spans="1:2" x14ac:dyDescent="0.3">
      <c r="A37" s="4" t="s">
        <v>29</v>
      </c>
      <c r="B37" s="5">
        <v>1141490</v>
      </c>
    </row>
    <row r="38" spans="1:2" x14ac:dyDescent="0.3">
      <c r="A38" s="4" t="s">
        <v>33</v>
      </c>
      <c r="B38" s="5">
        <v>8464606</v>
      </c>
    </row>
    <row r="48" spans="1:2" x14ac:dyDescent="0.3">
      <c r="A48" s="3" t="s">
        <v>32</v>
      </c>
      <c r="B48" s="3" t="s">
        <v>34</v>
      </c>
    </row>
    <row r="49" spans="1:2" x14ac:dyDescent="0.3">
      <c r="A49" s="4" t="s">
        <v>13</v>
      </c>
      <c r="B49" s="5">
        <v>1669770</v>
      </c>
    </row>
    <row r="50" spans="1:2" x14ac:dyDescent="0.3">
      <c r="A50" s="4" t="s">
        <v>9</v>
      </c>
      <c r="B50" s="5">
        <v>3505821</v>
      </c>
    </row>
    <row r="51" spans="1:2" x14ac:dyDescent="0.3">
      <c r="A51" s="4" t="s">
        <v>18</v>
      </c>
      <c r="B51" s="5">
        <v>3289015</v>
      </c>
    </row>
    <row r="52" spans="1:2" x14ac:dyDescent="0.3">
      <c r="A52" s="4" t="s">
        <v>33</v>
      </c>
      <c r="B52" s="5">
        <v>8464606</v>
      </c>
    </row>
    <row r="61" spans="1:2" x14ac:dyDescent="0.3">
      <c r="A61" s="3" t="s">
        <v>32</v>
      </c>
      <c r="B61" s="3" t="s">
        <v>34</v>
      </c>
    </row>
    <row r="62" spans="1:2" x14ac:dyDescent="0.3">
      <c r="A62" s="4" t="s">
        <v>35</v>
      </c>
      <c r="B62" s="5">
        <v>640162</v>
      </c>
    </row>
    <row r="63" spans="1:2" x14ac:dyDescent="0.3">
      <c r="A63" s="4" t="s">
        <v>36</v>
      </c>
      <c r="B63" s="5">
        <v>648716</v>
      </c>
    </row>
    <row r="64" spans="1:2" x14ac:dyDescent="0.3">
      <c r="A64" s="4" t="s">
        <v>37</v>
      </c>
      <c r="B64" s="5">
        <v>610145</v>
      </c>
    </row>
    <row r="65" spans="1:2" x14ac:dyDescent="0.3">
      <c r="A65" s="4" t="s">
        <v>38</v>
      </c>
      <c r="B65" s="5">
        <v>805897</v>
      </c>
    </row>
    <row r="66" spans="1:2" x14ac:dyDescent="0.3">
      <c r="A66" s="4" t="s">
        <v>39</v>
      </c>
      <c r="B66" s="5">
        <v>679908</v>
      </c>
    </row>
    <row r="67" spans="1:2" x14ac:dyDescent="0.3">
      <c r="A67" s="4" t="s">
        <v>40</v>
      </c>
      <c r="B67" s="5">
        <v>655666</v>
      </c>
    </row>
    <row r="68" spans="1:2" x14ac:dyDescent="0.3">
      <c r="A68" s="4" t="s">
        <v>41</v>
      </c>
      <c r="B68" s="5">
        <v>833267</v>
      </c>
    </row>
    <row r="69" spans="1:2" x14ac:dyDescent="0.3">
      <c r="A69" s="4" t="s">
        <v>42</v>
      </c>
      <c r="B69" s="5">
        <v>618466</v>
      </c>
    </row>
    <row r="70" spans="1:2" x14ac:dyDescent="0.3">
      <c r="A70" s="4" t="s">
        <v>43</v>
      </c>
      <c r="B70" s="5">
        <v>632641</v>
      </c>
    </row>
    <row r="71" spans="1:2" x14ac:dyDescent="0.3">
      <c r="A71" s="4" t="s">
        <v>44</v>
      </c>
      <c r="B71" s="5">
        <v>832298</v>
      </c>
    </row>
    <row r="72" spans="1:2" x14ac:dyDescent="0.3">
      <c r="A72" s="4" t="s">
        <v>45</v>
      </c>
      <c r="B72" s="5">
        <v>660067</v>
      </c>
    </row>
    <row r="73" spans="1:2" x14ac:dyDescent="0.3">
      <c r="A73" s="4" t="s">
        <v>46</v>
      </c>
      <c r="B73" s="5">
        <v>847373</v>
      </c>
    </row>
    <row r="74" spans="1:2" x14ac:dyDescent="0.3">
      <c r="A74" s="4" t="s">
        <v>33</v>
      </c>
      <c r="B74" s="5">
        <v>8464606</v>
      </c>
    </row>
  </sheetData>
  <pageMargins left="0.7" right="0.7" top="0.75" bottom="0.75" header="0.3" footer="0.3"/>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9014F-8721-4EA5-9911-B0F6285114BB}">
  <sheetPr codeName="Sheet3"/>
  <dimension ref="A1"/>
  <sheetViews>
    <sheetView showGridLines="0" tabSelected="1" zoomScale="71" zoomScaleNormal="61" workbookViewId="0">
      <selection activeCell="K43" sqref="K43"/>
    </sheetView>
  </sheetViews>
  <sheetFormatPr defaultRowHeight="14.4" x14ac:dyDescent="0.3"/>
  <cols>
    <col min="1" max="16384" width="8.88671875" style="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8A111-3C5B-4151-9B6B-CB385DDC547F}">
  <sheetPr codeName="Sheet4"/>
  <dimension ref="A3:E68"/>
  <sheetViews>
    <sheetView zoomScale="85" workbookViewId="0"/>
  </sheetViews>
  <sheetFormatPr defaultRowHeight="14.4" x14ac:dyDescent="0.3"/>
  <cols>
    <col min="1" max="1" width="10.33203125" style="3" bestFit="1" customWidth="1"/>
    <col min="2" max="2" width="12.88671875" style="3" customWidth="1"/>
    <col min="3" max="3" width="18.109375" style="3" customWidth="1"/>
    <col min="4" max="4" width="35.21875" style="3" customWidth="1"/>
    <col min="5" max="5" width="34.109375" style="3" customWidth="1"/>
    <col min="6" max="16384" width="8.88671875" style="3"/>
  </cols>
  <sheetData>
    <row r="3" spans="1:5" x14ac:dyDescent="0.3">
      <c r="A3" s="3" t="s">
        <v>0</v>
      </c>
      <c r="B3" s="3" t="s">
        <v>7</v>
      </c>
      <c r="C3" s="3" t="s">
        <v>64</v>
      </c>
      <c r="D3" s="3" t="s">
        <v>65</v>
      </c>
      <c r="E3" s="3" t="s">
        <v>66</v>
      </c>
    </row>
    <row r="4" spans="1:5" x14ac:dyDescent="0.3">
      <c r="A4" s="13">
        <v>44204</v>
      </c>
      <c r="B4" s="5">
        <v>5493.0666666666666</v>
      </c>
    </row>
    <row r="5" spans="1:5" x14ac:dyDescent="0.3">
      <c r="A5" s="13">
        <v>44211</v>
      </c>
      <c r="B5" s="5">
        <v>5258.666666666667</v>
      </c>
    </row>
    <row r="6" spans="1:5" x14ac:dyDescent="0.3">
      <c r="A6" s="13">
        <v>44218</v>
      </c>
      <c r="B6" s="5">
        <v>4983</v>
      </c>
    </row>
    <row r="7" spans="1:5" x14ac:dyDescent="0.3">
      <c r="A7" s="13">
        <v>44225</v>
      </c>
      <c r="B7" s="5">
        <v>5604</v>
      </c>
    </row>
    <row r="8" spans="1:5" x14ac:dyDescent="0.3">
      <c r="A8" s="13">
        <v>44232</v>
      </c>
      <c r="B8" s="5">
        <v>5980.5333333333338</v>
      </c>
    </row>
    <row r="9" spans="1:5" x14ac:dyDescent="0.3">
      <c r="A9" s="13">
        <v>44239</v>
      </c>
      <c r="B9" s="5">
        <v>5031.1000000000004</v>
      </c>
    </row>
    <row r="10" spans="1:5" x14ac:dyDescent="0.3">
      <c r="A10" s="13">
        <v>44246</v>
      </c>
      <c r="B10" s="5">
        <v>5309.2</v>
      </c>
    </row>
    <row r="11" spans="1:5" x14ac:dyDescent="0.3">
      <c r="A11" s="13">
        <v>44253</v>
      </c>
      <c r="B11" s="5">
        <v>5303.0333333333338</v>
      </c>
    </row>
    <row r="12" spans="1:5" x14ac:dyDescent="0.3">
      <c r="A12" s="13">
        <v>44260</v>
      </c>
      <c r="B12" s="5">
        <v>4987.3</v>
      </c>
    </row>
    <row r="13" spans="1:5" x14ac:dyDescent="0.3">
      <c r="A13" s="13">
        <v>44267</v>
      </c>
      <c r="B13" s="5">
        <v>4876.7333333333336</v>
      </c>
    </row>
    <row r="14" spans="1:5" x14ac:dyDescent="0.3">
      <c r="A14" s="13">
        <v>44274</v>
      </c>
      <c r="B14" s="5">
        <v>5317.666666666667</v>
      </c>
    </row>
    <row r="15" spans="1:5" x14ac:dyDescent="0.3">
      <c r="A15" s="13">
        <v>44281</v>
      </c>
      <c r="B15" s="5">
        <v>5156.4666666666662</v>
      </c>
    </row>
    <row r="16" spans="1:5" x14ac:dyDescent="0.3">
      <c r="A16" s="13">
        <v>44288</v>
      </c>
      <c r="B16" s="5">
        <v>5616.5666666666666</v>
      </c>
    </row>
    <row r="17" spans="1:2" x14ac:dyDescent="0.3">
      <c r="A17" s="13">
        <v>44295</v>
      </c>
      <c r="B17" s="5">
        <v>5114.0666666666666</v>
      </c>
    </row>
    <row r="18" spans="1:2" x14ac:dyDescent="0.3">
      <c r="A18" s="13">
        <v>44302</v>
      </c>
      <c r="B18" s="5">
        <v>5291.833333333333</v>
      </c>
    </row>
    <row r="19" spans="1:2" x14ac:dyDescent="0.3">
      <c r="A19" s="13">
        <v>44309</v>
      </c>
      <c r="B19" s="5">
        <v>5226.6000000000004</v>
      </c>
    </row>
    <row r="20" spans="1:2" x14ac:dyDescent="0.3">
      <c r="A20" s="13">
        <v>44316</v>
      </c>
      <c r="B20" s="5">
        <v>5614.166666666667</v>
      </c>
    </row>
    <row r="21" spans="1:2" x14ac:dyDescent="0.3">
      <c r="A21" s="13">
        <v>44323</v>
      </c>
      <c r="B21" s="5">
        <v>5611.7</v>
      </c>
    </row>
    <row r="22" spans="1:2" x14ac:dyDescent="0.3">
      <c r="A22" s="13">
        <v>44330</v>
      </c>
      <c r="B22" s="5">
        <v>5264.2666666666664</v>
      </c>
    </row>
    <row r="23" spans="1:2" x14ac:dyDescent="0.3">
      <c r="A23" s="13">
        <v>44337</v>
      </c>
      <c r="B23" s="5">
        <v>6060.7</v>
      </c>
    </row>
    <row r="24" spans="1:2" x14ac:dyDescent="0.3">
      <c r="A24" s="13">
        <v>44344</v>
      </c>
      <c r="B24" s="5">
        <v>5726.9333333333334</v>
      </c>
    </row>
    <row r="25" spans="1:2" x14ac:dyDescent="0.3">
      <c r="A25" s="13">
        <v>44351</v>
      </c>
      <c r="B25" s="5">
        <v>5239.6000000000004</v>
      </c>
    </row>
    <row r="26" spans="1:2" x14ac:dyDescent="0.3">
      <c r="A26" s="13">
        <v>44358</v>
      </c>
      <c r="B26" s="5">
        <v>5837.2</v>
      </c>
    </row>
    <row r="27" spans="1:2" x14ac:dyDescent="0.3">
      <c r="A27" s="13">
        <v>44365</v>
      </c>
      <c r="B27" s="5">
        <v>5198.4333333333334</v>
      </c>
    </row>
    <row r="28" spans="1:2" x14ac:dyDescent="0.3">
      <c r="A28" s="13">
        <v>44372</v>
      </c>
      <c r="B28" s="5">
        <v>5580.3</v>
      </c>
    </row>
    <row r="29" spans="1:2" x14ac:dyDescent="0.3">
      <c r="A29" s="13">
        <v>44379</v>
      </c>
      <c r="B29" s="5">
        <v>5725.1</v>
      </c>
    </row>
    <row r="30" spans="1:2" x14ac:dyDescent="0.3">
      <c r="A30" s="13">
        <v>44386</v>
      </c>
      <c r="B30" s="5">
        <v>5127.2666666666664</v>
      </c>
    </row>
    <row r="31" spans="1:2" x14ac:dyDescent="0.3">
      <c r="A31" s="13">
        <v>44393</v>
      </c>
      <c r="B31" s="5">
        <v>5487.2333333333336</v>
      </c>
    </row>
    <row r="32" spans="1:2" x14ac:dyDescent="0.3">
      <c r="A32" s="13">
        <v>44400</v>
      </c>
      <c r="B32" s="5">
        <v>5744.7</v>
      </c>
    </row>
    <row r="33" spans="1:2" x14ac:dyDescent="0.3">
      <c r="A33" s="13">
        <v>44407</v>
      </c>
      <c r="B33" s="5">
        <v>5691.2666666666664</v>
      </c>
    </row>
    <row r="34" spans="1:2" x14ac:dyDescent="0.3">
      <c r="A34" s="13">
        <v>44414</v>
      </c>
      <c r="B34" s="5">
        <v>5591.2</v>
      </c>
    </row>
    <row r="35" spans="1:2" x14ac:dyDescent="0.3">
      <c r="A35" s="13">
        <v>44421</v>
      </c>
      <c r="B35" s="5">
        <v>4921.7333333333336</v>
      </c>
    </row>
    <row r="36" spans="1:2" x14ac:dyDescent="0.3">
      <c r="A36" s="13">
        <v>44428</v>
      </c>
      <c r="B36" s="5">
        <v>4825.0333333333338</v>
      </c>
    </row>
    <row r="37" spans="1:2" x14ac:dyDescent="0.3">
      <c r="A37" s="13">
        <v>44435</v>
      </c>
      <c r="B37" s="5">
        <v>5277.5666666666666</v>
      </c>
    </row>
    <row r="38" spans="1:2" x14ac:dyDescent="0.3">
      <c r="A38" s="13">
        <v>44442</v>
      </c>
      <c r="B38" s="5">
        <v>5047.833333333333</v>
      </c>
    </row>
    <row r="39" spans="1:2" x14ac:dyDescent="0.3">
      <c r="A39" s="13">
        <v>44449</v>
      </c>
      <c r="B39" s="5">
        <v>5479.8666666666668</v>
      </c>
    </row>
    <row r="40" spans="1:2" x14ac:dyDescent="0.3">
      <c r="A40" s="13">
        <v>44456</v>
      </c>
      <c r="B40" s="5">
        <v>5356.3666666666668</v>
      </c>
    </row>
    <row r="41" spans="1:2" x14ac:dyDescent="0.3">
      <c r="A41" s="13">
        <v>44463</v>
      </c>
      <c r="B41" s="5">
        <v>5203.9666666666662</v>
      </c>
    </row>
    <row r="42" spans="1:2" x14ac:dyDescent="0.3">
      <c r="A42" s="13">
        <v>44470</v>
      </c>
      <c r="B42" s="5">
        <v>5532.1</v>
      </c>
    </row>
    <row r="43" spans="1:2" x14ac:dyDescent="0.3">
      <c r="A43" s="13">
        <v>44477</v>
      </c>
      <c r="B43" s="5">
        <v>6086</v>
      </c>
    </row>
    <row r="44" spans="1:2" x14ac:dyDescent="0.3">
      <c r="A44" s="13">
        <v>44484</v>
      </c>
      <c r="B44" s="5">
        <v>5541.333333333333</v>
      </c>
    </row>
    <row r="45" spans="1:2" x14ac:dyDescent="0.3">
      <c r="A45" s="13">
        <v>44491</v>
      </c>
      <c r="B45" s="5">
        <v>5010.4666666666662</v>
      </c>
    </row>
    <row r="46" spans="1:2" x14ac:dyDescent="0.3">
      <c r="A46" s="13">
        <v>44498</v>
      </c>
      <c r="B46" s="5">
        <v>5573.3666666666668</v>
      </c>
    </row>
    <row r="47" spans="1:2" x14ac:dyDescent="0.3">
      <c r="A47" s="13">
        <v>44505</v>
      </c>
      <c r="B47" s="5">
        <v>5415.6</v>
      </c>
    </row>
    <row r="48" spans="1:2" x14ac:dyDescent="0.3">
      <c r="A48" s="13">
        <v>44512</v>
      </c>
      <c r="B48" s="5">
        <v>5207.8999999999996</v>
      </c>
    </row>
    <row r="49" spans="1:5" x14ac:dyDescent="0.3">
      <c r="A49" s="13">
        <v>44519</v>
      </c>
      <c r="B49" s="5">
        <v>6121.2666666666664</v>
      </c>
    </row>
    <row r="50" spans="1:5" x14ac:dyDescent="0.3">
      <c r="A50" s="13">
        <v>44526</v>
      </c>
      <c r="B50" s="5">
        <v>5257.4666666666662</v>
      </c>
    </row>
    <row r="51" spans="1:5" x14ac:dyDescent="0.3">
      <c r="A51" s="13">
        <v>44533</v>
      </c>
      <c r="B51" s="5">
        <v>5539.7666666666664</v>
      </c>
    </row>
    <row r="52" spans="1:5" x14ac:dyDescent="0.3">
      <c r="A52" s="13">
        <v>44540</v>
      </c>
      <c r="B52" s="5">
        <v>6016.0666666666666</v>
      </c>
    </row>
    <row r="53" spans="1:5" x14ac:dyDescent="0.3">
      <c r="A53" s="13">
        <v>44547</v>
      </c>
      <c r="B53" s="5">
        <v>5982.8</v>
      </c>
    </row>
    <row r="54" spans="1:5" x14ac:dyDescent="0.3">
      <c r="A54" s="13">
        <v>44554</v>
      </c>
      <c r="B54" s="5">
        <v>5041.6000000000004</v>
      </c>
    </row>
    <row r="55" spans="1:5" x14ac:dyDescent="0.3">
      <c r="A55" s="13">
        <v>44561</v>
      </c>
      <c r="B55" s="5">
        <v>5665.5333333333338</v>
      </c>
      <c r="C55" s="5">
        <v>5665.5333333333338</v>
      </c>
      <c r="D55" s="5">
        <v>5665.5333333333338</v>
      </c>
      <c r="E55" s="5">
        <v>5665.5333333333338</v>
      </c>
    </row>
    <row r="56" spans="1:5" x14ac:dyDescent="0.3">
      <c r="A56" s="13">
        <v>44568</v>
      </c>
      <c r="C56" s="5">
        <f t="shared" ref="C56:C68" si="0">_xlfn.FORECAST.ETS(A56,$B$4:$B$55,$A$4:$A$55,1,1)</f>
        <v>5557.1308015720897</v>
      </c>
      <c r="D56" s="5">
        <f t="shared" ref="D56:D68" si="1">C56-_xlfn.FORECAST.ETS.CONFINT(A56,$B$4:$B$55,$A$4:$A$55,0.95,1,1)</f>
        <v>4888.3597496634857</v>
      </c>
      <c r="E56" s="5">
        <f t="shared" ref="E56:E68" si="2">C56+_xlfn.FORECAST.ETS.CONFINT(A56,$B$4:$B$55,$A$4:$A$55,0.95,1,1)</f>
        <v>6225.9018534806937</v>
      </c>
    </row>
    <row r="57" spans="1:5" x14ac:dyDescent="0.3">
      <c r="A57" s="13">
        <v>44575</v>
      </c>
      <c r="C57" s="5">
        <f t="shared" si="0"/>
        <v>5560.802639993477</v>
      </c>
      <c r="D57" s="5">
        <f t="shared" si="1"/>
        <v>4888.629176318851</v>
      </c>
      <c r="E57" s="5">
        <f t="shared" si="2"/>
        <v>6232.976103668103</v>
      </c>
    </row>
    <row r="58" spans="1:5" x14ac:dyDescent="0.3">
      <c r="A58" s="13">
        <v>44582</v>
      </c>
      <c r="C58" s="5">
        <f t="shared" si="0"/>
        <v>5564.4744784148643</v>
      </c>
      <c r="D58" s="5">
        <f t="shared" si="1"/>
        <v>4888.848543911251</v>
      </c>
      <c r="E58" s="5">
        <f t="shared" si="2"/>
        <v>6240.1004129184776</v>
      </c>
    </row>
    <row r="59" spans="1:5" x14ac:dyDescent="0.3">
      <c r="A59" s="13">
        <v>44589</v>
      </c>
      <c r="C59" s="5">
        <f t="shared" si="0"/>
        <v>5568.1463168362516</v>
      </c>
      <c r="D59" s="5">
        <f t="shared" si="1"/>
        <v>4889.0179573216519</v>
      </c>
      <c r="E59" s="5">
        <f t="shared" si="2"/>
        <v>6247.2746763508512</v>
      </c>
    </row>
    <row r="60" spans="1:5" x14ac:dyDescent="0.3">
      <c r="A60" s="13">
        <v>44596</v>
      </c>
      <c r="C60" s="5">
        <f t="shared" si="0"/>
        <v>5571.8181552576398</v>
      </c>
      <c r="D60" s="5">
        <f t="shared" si="1"/>
        <v>4889.1375302600381</v>
      </c>
      <c r="E60" s="5">
        <f t="shared" si="2"/>
        <v>6254.4987802552414</v>
      </c>
    </row>
    <row r="61" spans="1:5" x14ac:dyDescent="0.3">
      <c r="A61" s="13">
        <v>44603</v>
      </c>
      <c r="C61" s="5">
        <f t="shared" si="0"/>
        <v>5575.4899936790271</v>
      </c>
      <c r="D61" s="5">
        <f t="shared" si="1"/>
        <v>4889.2073849574499</v>
      </c>
      <c r="E61" s="5">
        <f t="shared" si="2"/>
        <v>6261.7726024006042</v>
      </c>
    </row>
    <row r="62" spans="1:5" x14ac:dyDescent="0.3">
      <c r="A62" s="13">
        <v>44610</v>
      </c>
      <c r="C62" s="5">
        <f t="shared" si="0"/>
        <v>5579.1618321004144</v>
      </c>
      <c r="D62" s="5">
        <f t="shared" si="1"/>
        <v>4889.2276518584413</v>
      </c>
      <c r="E62" s="5">
        <f t="shared" si="2"/>
        <v>6269.0960123423874</v>
      </c>
    </row>
    <row r="63" spans="1:5" x14ac:dyDescent="0.3">
      <c r="A63" s="13">
        <v>44617</v>
      </c>
      <c r="C63" s="5">
        <f t="shared" si="0"/>
        <v>5582.8336705218017</v>
      </c>
      <c r="D63" s="5">
        <f t="shared" si="1"/>
        <v>4889.1984693144486</v>
      </c>
      <c r="E63" s="5">
        <f t="shared" si="2"/>
        <v>6276.4688717291547</v>
      </c>
    </row>
    <row r="64" spans="1:5" x14ac:dyDescent="0.3">
      <c r="A64" s="13">
        <v>44624</v>
      </c>
      <c r="C64" s="5">
        <f t="shared" si="0"/>
        <v>5586.5055089431889</v>
      </c>
      <c r="D64" s="5">
        <f t="shared" si="1"/>
        <v>4889.1199832785533</v>
      </c>
      <c r="E64" s="5">
        <f t="shared" si="2"/>
        <v>6283.8910346078246</v>
      </c>
    </row>
    <row r="65" spans="1:5" x14ac:dyDescent="0.3">
      <c r="A65" s="13">
        <v>44631</v>
      </c>
      <c r="C65" s="5">
        <f t="shared" si="0"/>
        <v>5590.1773473645762</v>
      </c>
      <c r="D65" s="5">
        <f t="shared" si="1"/>
        <v>4888.9923470020995</v>
      </c>
      <c r="E65" s="5">
        <f t="shared" si="2"/>
        <v>6291.362347727053</v>
      </c>
    </row>
    <row r="66" spans="1:5" x14ac:dyDescent="0.3">
      <c r="A66" s="13">
        <v>44638</v>
      </c>
      <c r="C66" s="5">
        <f t="shared" si="0"/>
        <v>5593.8491857859635</v>
      </c>
      <c r="D66" s="5">
        <f t="shared" si="1"/>
        <v>4888.8157207335835</v>
      </c>
      <c r="E66" s="5">
        <f t="shared" si="2"/>
        <v>6298.8826508383436</v>
      </c>
    </row>
    <row r="67" spans="1:5" x14ac:dyDescent="0.3">
      <c r="A67" s="13">
        <v>44645</v>
      </c>
      <c r="C67" s="5">
        <f t="shared" si="0"/>
        <v>5597.5210242073508</v>
      </c>
      <c r="D67" s="5">
        <f t="shared" si="1"/>
        <v>4888.590271420243</v>
      </c>
      <c r="E67" s="5">
        <f t="shared" si="2"/>
        <v>6306.4517769944587</v>
      </c>
    </row>
    <row r="68" spans="1:5" x14ac:dyDescent="0.3">
      <c r="A68" s="13">
        <v>44652</v>
      </c>
      <c r="C68" s="5">
        <f t="shared" si="0"/>
        <v>5601.192862628739</v>
      </c>
      <c r="D68" s="5">
        <f t="shared" si="1"/>
        <v>4888.3161724127131</v>
      </c>
      <c r="E68" s="5">
        <f t="shared" si="2"/>
        <v>6314.069552844765</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1D7EE-D767-424B-A5B1-0CC7EE697AB1}">
  <sheetPr codeName="Sheet5"/>
  <dimension ref="A2:C18"/>
  <sheetViews>
    <sheetView workbookViewId="0"/>
  </sheetViews>
  <sheetFormatPr defaultRowHeight="14.4" x14ac:dyDescent="0.3"/>
  <cols>
    <col min="1" max="1" width="22.6640625" style="2" customWidth="1"/>
    <col min="2" max="2" width="26.21875" style="2" customWidth="1"/>
    <col min="3" max="3" width="98.77734375" style="2" customWidth="1"/>
    <col min="4" max="16384" width="8.88671875" style="2"/>
  </cols>
  <sheetData>
    <row r="2" spans="1:3" ht="20.399999999999999" thickBot="1" x14ac:dyDescent="0.45">
      <c r="A2" s="10"/>
      <c r="C2" s="14" t="s">
        <v>55</v>
      </c>
    </row>
    <row r="3" spans="1:3" ht="15" thickTop="1" x14ac:dyDescent="0.3"/>
    <row r="4" spans="1:3" ht="15" x14ac:dyDescent="0.3">
      <c r="B4" s="11" t="s">
        <v>57</v>
      </c>
      <c r="C4" s="12" t="s">
        <v>47</v>
      </c>
    </row>
    <row r="5" spans="1:3" ht="15" x14ac:dyDescent="0.3">
      <c r="B5" s="3"/>
      <c r="C5" s="12" t="s">
        <v>48</v>
      </c>
    </row>
    <row r="6" spans="1:3" x14ac:dyDescent="0.3">
      <c r="B6" s="3"/>
      <c r="C6" s="3"/>
    </row>
    <row r="7" spans="1:3" ht="15" x14ac:dyDescent="0.3">
      <c r="B7" s="11" t="s">
        <v>56</v>
      </c>
      <c r="C7" s="12" t="s">
        <v>49</v>
      </c>
    </row>
    <row r="8" spans="1:3" x14ac:dyDescent="0.3">
      <c r="B8" s="3"/>
      <c r="C8" s="3"/>
    </row>
    <row r="9" spans="1:3" ht="15" x14ac:dyDescent="0.3">
      <c r="B9" s="11" t="s">
        <v>58</v>
      </c>
      <c r="C9" s="12" t="s">
        <v>50</v>
      </c>
    </row>
    <row r="10" spans="1:3" ht="15" x14ac:dyDescent="0.3">
      <c r="B10" s="3"/>
      <c r="C10" s="12" t="s">
        <v>51</v>
      </c>
    </row>
    <row r="11" spans="1:3" x14ac:dyDescent="0.3">
      <c r="B11" s="3"/>
      <c r="C11" s="3"/>
    </row>
    <row r="12" spans="1:3" ht="15" x14ac:dyDescent="0.3">
      <c r="B12" s="11" t="s">
        <v>59</v>
      </c>
      <c r="C12" s="12" t="s">
        <v>52</v>
      </c>
    </row>
    <row r="13" spans="1:3" ht="15" x14ac:dyDescent="0.3">
      <c r="B13" s="3"/>
      <c r="C13" s="12" t="s">
        <v>60</v>
      </c>
    </row>
    <row r="14" spans="1:3" x14ac:dyDescent="0.3">
      <c r="B14" s="3"/>
      <c r="C14" s="3"/>
    </row>
    <row r="15" spans="1:3" ht="15" x14ac:dyDescent="0.3">
      <c r="B15" s="11" t="s">
        <v>61</v>
      </c>
      <c r="C15" s="12" t="s">
        <v>53</v>
      </c>
    </row>
    <row r="16" spans="1:3" ht="15" x14ac:dyDescent="0.3">
      <c r="B16" s="3"/>
      <c r="C16" s="12" t="s">
        <v>54</v>
      </c>
    </row>
    <row r="17" spans="2:3" x14ac:dyDescent="0.3">
      <c r="B17" s="3"/>
      <c r="C17" s="3"/>
    </row>
    <row r="18" spans="2:3" ht="15" x14ac:dyDescent="0.3">
      <c r="B18" s="11" t="s">
        <v>62</v>
      </c>
      <c r="C18" s="12" t="s">
        <v>63</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D9DDB-D604-4AFB-A939-5E533772E23C}">
  <sheetPr codeName="Sheet6"/>
  <dimension ref="A1"/>
  <sheetViews>
    <sheetView zoomScale="83" workbookViewId="0">
      <selection activeCell="P25" sqref="P25"/>
    </sheetView>
  </sheetViews>
  <sheetFormatPr defaultRowHeight="14.4"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vt:lpstr>
      <vt:lpstr>PIVOT TABLE &amp; CHART</vt:lpstr>
      <vt:lpstr>DASHBOARD</vt:lpstr>
      <vt:lpstr>FORECAST SHEET</vt:lpstr>
      <vt:lpstr>INSIGHTS</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Ujwal Shrivastav</dc:creator>
  <cp:lastModifiedBy>Ujwal Shrivastav</cp:lastModifiedBy>
  <dcterms:created xsi:type="dcterms:W3CDTF">2024-07-10T18:36:36Z</dcterms:created>
  <dcterms:modified xsi:type="dcterms:W3CDTF">2024-07-16T04:40:33Z</dcterms:modified>
</cp:coreProperties>
</file>